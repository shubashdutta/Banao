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BS" sheetId="2" state="visible" r:id="rId4"/>
  </sheets>
  <definedNames>
    <definedName function="false" hidden="true" localSheetId="1" name="_xlnm._FilterDatabase" vbProcedure="false">WBS!$A$1:$O$115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<sst xmlns="http://schemas.openxmlformats.org/spreadsheetml/2006/main" count="1114" uniqueCount="574">
  <si>
    <t xml:space="preserve">Hamro Mall Admin Platform – Work Breakdown Structure</t>
  </si>
  <si>
    <t xml:space="preserve">Based on SRS Vol.1 (Product, Attributes, Order, Vendors) and Vol.2 (Customer, Role, CMS, Settings). Hours = effort hours.</t>
  </si>
  <si>
    <t xml:space="preserve">Assumptions (blue = editable input)</t>
  </si>
  <si>
    <t xml:space="preserve">Contingency %</t>
  </si>
  <si>
    <t xml:space="preserve">Productive hours per person-week</t>
  </si>
  <si>
    <t xml:space="preserve">Team size (people working in parallel)</t>
  </si>
  <si>
    <t xml:space="preserve">Base effort (hrs)</t>
  </si>
  <si>
    <t xml:space="preserve">Effort incl. contingency (hrs)</t>
  </si>
  <si>
    <t xml:space="preserve">Person-weeks</t>
  </si>
  <si>
    <t xml:space="preserve">Indicative duration (weeks, if team works fully parallel)</t>
  </si>
  <si>
    <t xml:space="preserve">Effort by Epic</t>
  </si>
  <si>
    <t xml:space="preserve">ID</t>
  </si>
  <si>
    <t xml:space="preserve">Name</t>
  </si>
  <si>
    <t xml:space="preserve">Stories</t>
  </si>
  <si>
    <t xml:space="preserve">Frontend</t>
  </si>
  <si>
    <t xml:space="preserve">Backend</t>
  </si>
  <si>
    <t xml:space="preserve">QA</t>
  </si>
  <si>
    <t xml:space="preserve">DevOps</t>
  </si>
  <si>
    <t xml:space="preserve">Total</t>
  </si>
  <si>
    <t xml:space="preserve">% of total</t>
  </si>
  <si>
    <t xml:space="preserve">E01</t>
  </si>
  <si>
    <t xml:space="preserve">Project Setup &amp; Platform Foundation</t>
  </si>
  <si>
    <t xml:space="preserve">E02</t>
  </si>
  <si>
    <t xml:space="preserve">Authentication, RBAC &amp; Role Management</t>
  </si>
  <si>
    <t xml:space="preserve">E03</t>
  </si>
  <si>
    <t xml:space="preserve">Admin Shell &amp; Notifications</t>
  </si>
  <si>
    <t xml:space="preserve">E04</t>
  </si>
  <si>
    <t xml:space="preserve">Master Data (Category, Brand, Warehouse, Lists)</t>
  </si>
  <si>
    <t xml:space="preserve">E05</t>
  </si>
  <si>
    <t xml:space="preserve">Attributes</t>
  </si>
  <si>
    <t xml:space="preserve">E06</t>
  </si>
  <si>
    <t xml:space="preserve">Product – Add Product Wizard</t>
  </si>
  <si>
    <t xml:space="preserve">E07</t>
  </si>
  <si>
    <t xml:space="preserve">Product – Product List</t>
  </si>
  <si>
    <t xml:space="preserve">E08</t>
  </si>
  <si>
    <t xml:space="preserve">Product – Expire Product</t>
  </si>
  <si>
    <t xml:space="preserve">E09</t>
  </si>
  <si>
    <t xml:space="preserve">Order Management</t>
  </si>
  <si>
    <t xml:space="preserve">E10</t>
  </si>
  <si>
    <t xml:space="preserve">Vendor Management</t>
  </si>
  <si>
    <t xml:space="preserve">E11</t>
  </si>
  <si>
    <t xml:space="preserve">Customer Management</t>
  </si>
  <si>
    <t xml:space="preserve">E12</t>
  </si>
  <si>
    <t xml:space="preserve">CMS – Web Management &amp; Media</t>
  </si>
  <si>
    <t xml:space="preserve">E13</t>
  </si>
  <si>
    <t xml:space="preserve">Settings (General, Policy, Security, Currency, Subscriber)</t>
  </si>
  <si>
    <t xml:space="preserve">E14</t>
  </si>
  <si>
    <t xml:space="preserve">Non-Functional Hardening, Testing &amp; Release</t>
  </si>
  <si>
    <t xml:space="preserve">TOTAL</t>
  </si>
  <si>
    <t xml:space="preserve">Effort by Priority</t>
  </si>
  <si>
    <t xml:space="preserve">Key</t>
  </si>
  <si>
    <t xml:space="preserve">Must</t>
  </si>
  <si>
    <t xml:space="preserve">Must have (R1 – MVP)</t>
  </si>
  <si>
    <t xml:space="preserve">Should</t>
  </si>
  <si>
    <t xml:space="preserve">Should have (R2)</t>
  </si>
  <si>
    <t xml:space="preserve">Could</t>
  </si>
  <si>
    <t xml:space="preserve">Could have (R3)</t>
  </si>
  <si>
    <t xml:space="preserve">Notes</t>
  </si>
  <si>
    <t xml:space="preserve">1. Estimates are for a mid-level engineer, include developer unit tests, and are accurate to about ±20%. QA hours include test design and execution.</t>
  </si>
  <si>
    <t xml:space="preserve">2. Priority follows the SRS MoSCoW. Release: Must = R1 (MVP), Should = R2, Could = R3.</t>
  </si>
  <si>
    <t xml:space="preserve">3. Frontend / Backend / QA / DevOps hours are shown separately; Developer Role(s) lists every role with hours on that story.</t>
  </si>
  <si>
    <t xml:space="preserve">4. UI/UX design time is excluded because the FE design already exists. Findings F-01 to F-13 from the SRS are folded into the relevant stories.</t>
  </si>
  <si>
    <t xml:space="preserve">5. Stories marked Dependency, provisional or scope to confirm (Category, Brand, Warehouse, Manage Users, Khalti/eSewa, non-supplied CMS pages, Policy/Security/Currency/Subscriber) need client confirmation.</t>
  </si>
  <si>
    <t xml:space="preserve">6. Out of scope: customer storefront, Delivery Management, Suppliers, Delivery Rider and the Warehouse module beyond master data.</t>
  </si>
  <si>
    <t xml:space="preserve">7. Change the blue inputs above to see duration update; all totals are formulas driven from the WBS sheet.</t>
  </si>
  <si>
    <t xml:space="preserve">Epic ID</t>
  </si>
  <si>
    <t xml:space="preserve">Epic</t>
  </si>
  <si>
    <t xml:space="preserve">Story ID</t>
  </si>
  <si>
    <t xml:space="preserve">User Story</t>
  </si>
  <si>
    <t xml:space="preserve">Acceptance Criteria</t>
  </si>
  <si>
    <t xml:space="preserve">Priority</t>
  </si>
  <si>
    <t xml:space="preserve">Release</t>
  </si>
  <si>
    <t xml:space="preserve">Developer Role(s)</t>
  </si>
  <si>
    <t xml:space="preserve">Frontend Hrs</t>
  </si>
  <si>
    <t xml:space="preserve">Backend Hrs</t>
  </si>
  <si>
    <t xml:space="preserve">QA Hrs</t>
  </si>
  <si>
    <t xml:space="preserve">DevOps Hrs</t>
  </si>
  <si>
    <t xml:space="preserve">Total Hrs</t>
  </si>
  <si>
    <t xml:space="preserve">SRS Reference</t>
  </si>
  <si>
    <t xml:space="preserve">Depends On</t>
  </si>
  <si>
    <t xml:space="preserve">US-1.01</t>
  </si>
  <si>
    <t xml:space="preserve">As a developer, I want a Git repository with CI/CD and dev/staging/production environments so that code is built, tested and deployed consistently.</t>
  </si>
  <si>
    <t xml:space="preserve">1. Merge to develop triggers build, lint, tests and auto-deploy to staging
2. Three environments run with separate configuration and secrets
3. Rollback to previous release works in under 15 minutes</t>
  </si>
  <si>
    <t xml:space="preserve">Backend Dev, QA Engineer, DevOps Engineer</t>
  </si>
  <si>
    <t xml:space="preserve">NFR-04, NFR-10</t>
  </si>
  <si>
    <t xml:space="preserve">US-1.02</t>
  </si>
  <si>
    <t xml:space="preserve">As a developer, I want solution architecture, database baseline, API conventions and OpenAPI documentation so that all modules follow one consistent technical design.</t>
  </si>
  <si>
    <t xml:space="preserve">1. ERD covers all entities in SRS sections 5
2. REST conventions (pagination, error format, filtering) are documented and applied
3. Swagger/OpenAPI is generated and published for dev team</t>
  </si>
  <si>
    <t xml:space="preserve">Backend Dev, QA Engineer</t>
  </si>
  <si>
    <t xml:space="preserve">SRS §5, NFR-10</t>
  </si>
  <si>
    <t xml:space="preserve">US-1.03</t>
  </si>
  <si>
    <t xml:space="preserve">As a frontend developer, I want a React app scaffold with design tokens and a reusable component library (table toolbar, modal, upload zone, toast, breadcrumb, status toggle) so that every screen looks and behaves consistently.</t>
  </si>
  <si>
    <t xml:space="preserve">1. Purple theme, typography and spacing tokens match the FE design
2. Components are documented in Storybook (or equivalent)
3. Table toolbar supports search, filter, sort and primary action slots</t>
  </si>
  <si>
    <t xml:space="preserve">Frontend Dev, QA Engineer</t>
  </si>
  <si>
    <t xml:space="preserve">FR-GLB-06, NFR-05</t>
  </si>
  <si>
    <t xml:space="preserve">1.01</t>
  </si>
  <si>
    <t xml:space="preserve">US-1.04</t>
  </si>
  <si>
    <t xml:space="preserve">As a platform operator, I want a file storage service with upload API, type/size validation and malware scan so that products, vendors and CMS files are stored securely.</t>
  </si>
  <si>
    <t xml:space="preserve">1. Uploads accept only allowed types and sizes and are renamed on storage
2. Infected or invalid files are rejected with a clear error
3. Returned file has URL, path, MIME type, extension and size</t>
  </si>
  <si>
    <t xml:space="preserve">FR-MED-05, NFR-02</t>
  </si>
  <si>
    <t xml:space="preserve">US-1.05</t>
  </si>
  <si>
    <t xml:space="preserve">As an admin, I want a central audit log service so that create, update, delete and status changes are traceable.</t>
  </si>
  <si>
    <t xml:space="preserve">1. Each audited action stores user, entity, action, before/after values, IP and timestamp
2. Audit entries cannot be edited or deleted from the UI
3. Logs are retained for 12 months</t>
  </si>
  <si>
    <t xml:space="preserve">NFR-08, BR-08</t>
  </si>
  <si>
    <t xml:space="preserve">1.02</t>
  </si>
  <si>
    <t xml:space="preserve">US-2.01</t>
  </si>
  <si>
    <t xml:space="preserve">As an admin user, I want to log in and out securely with a session timeout so that only authorised staff access the panel.</t>
  </si>
  <si>
    <t xml:space="preserve">1. Valid credentials open the dashboard; invalid credentials show an error
2. Session expires after configured inactivity and redirects to login
3. Passwords are hashed; brute-force attempts are throttled</t>
  </si>
  <si>
    <t xml:space="preserve">Frontend Dev, Backend Dev, QA Engineer</t>
  </si>
  <si>
    <t xml:space="preserve">Dependency (auth out of SRS scope)</t>
  </si>
  <si>
    <t xml:space="preserve">US-2.02</t>
  </si>
  <si>
    <t xml:space="preserve">As a super admin, I want permissions enforced on both menu and API so that users see and do only what their role allows.</t>
  </si>
  <si>
    <t xml:space="preserve">1. Menu items and buttons without permission are hidden
2. API returns 403 for unauthorised calls even if the UI is bypassed
3. Permission changes apply on next request or login</t>
  </si>
  <si>
    <t xml:space="preserve">FR-GLB-05, NFR-01</t>
  </si>
  <si>
    <t xml:space="preserve">2.10</t>
  </si>
  <si>
    <t xml:space="preserve">US-2.03</t>
  </si>
  <si>
    <t xml:space="preserve">As an admin, I want to view and search all roles in a table so that I can find and manage roles quickly.</t>
  </si>
  <si>
    <t xml:space="preserve">1. Table shows S.N, Role Name, Description, Status toggle and view/edit/delete icons
2. Search filters by name and description as I type
3. Empty result shows "No roles found"</t>
  </si>
  <si>
    <t xml:space="preserve">FR-ROL-01, 02</t>
  </si>
  <si>
    <t xml:space="preserve">1.03</t>
  </si>
  <si>
    <t xml:space="preserve">US-2.04</t>
  </si>
  <si>
    <t xml:space="preserve">As an admin, I want to add a role with name and description so that new staff types can be created.</t>
  </si>
  <si>
    <t xml:space="preserve">1. Role Name is required, unique (case-insensitive), 2–50 characters
2. Description is optional, up to 255 characters
3. New role is Active and appears in the list without page reload</t>
  </si>
  <si>
    <t xml:space="preserve">FR-ROL-03</t>
  </si>
  <si>
    <t xml:space="preserve">2.03</t>
  </si>
  <si>
    <t xml:space="preserve">US-2.05</t>
  </si>
  <si>
    <t xml:space="preserve">As an admin, I want to edit a role so that role details stay correct.</t>
  </si>
  <si>
    <t xml:space="preserve">1. Dialog pre-fills current name and description
2. Same validation as Add applies
3. Save updates the table row and shows a success toast</t>
  </si>
  <si>
    <t xml:space="preserve">FR-ROL-04</t>
  </si>
  <si>
    <t xml:space="preserve">US-2.06</t>
  </si>
  <si>
    <t xml:space="preserve">As an admin, I want to view role details in a read-only dialog so that I can check a role without editing it.</t>
  </si>
  <si>
    <t xml:space="preserve">1. Eye icon opens dialog with icon, name, ACTIVE/INACTIVE badge and description
2. Dialog closes with the x icon or Esc</t>
  </si>
  <si>
    <t xml:space="preserve">FR-ROL-05</t>
  </si>
  <si>
    <t xml:space="preserve">US-2.07</t>
  </si>
  <si>
    <t xml:space="preserve">As an admin, I want to delete a role after confirmation so that unused roles are removed.</t>
  </si>
  <si>
    <t xml:space="preserve">1. Confirmation quotes the role name and states the action cannot be undone
2. A role assigned to users cannot be deleted; message shows the user count
3. Successful delete removes the row and logs an audit entry</t>
  </si>
  <si>
    <t xml:space="preserve">FR-ROL-06, 07, BR-03</t>
  </si>
  <si>
    <t xml:space="preserve">US-2.08</t>
  </si>
  <si>
    <t xml:space="preserve">As a super admin, I want the Admin role to be protected so that the system can never lose full access.</t>
  </si>
  <si>
    <t xml:space="preserve">1. Admin cannot be deleted or deactivated from UI or API
2. Admin permissions cannot be reduced</t>
  </si>
  <si>
    <t xml:space="preserve">FR-ROL-08, BR-02</t>
  </si>
  <si>
    <t xml:space="preserve">US-2.09</t>
  </si>
  <si>
    <t xml:space="preserve">As an admin, I want to activate or deactivate a role with a toggle so that I can pause a role without deleting it.</t>
  </si>
  <si>
    <t xml:space="preserve">1. Toggle updates status immediately with a toast
2. Inactive roles cannot be assigned to new users
3. Behaviour for existing users is applied as confirmed by the client (open question)</t>
  </si>
  <si>
    <t xml:space="preserve">FR-ROL-09</t>
  </si>
  <si>
    <t xml:space="preserve">US-2.10</t>
  </si>
  <si>
    <t xml:space="preserve">As a super admin, I want a permission matrix per role (modules × View/Create/Edit/Delete/Export) so that each role has exact access rights.</t>
  </si>
  <si>
    <t xml:space="preserve">1. Edit Role has a Manage Permissions tab listing all modules and actions
2. Saving stores permissions and enforces them via 2.02
3. Select-all per module and per action is available</t>
  </si>
  <si>
    <t xml:space="preserve">FR-ROL-11 (gap)</t>
  </si>
  <si>
    <t xml:space="preserve">2.04</t>
  </si>
  <si>
    <t xml:space="preserve">US-2.11</t>
  </si>
  <si>
    <t xml:space="preserve">As an admin, I want to select multiple roles and apply bulk actions so that repetitive changes are faster.</t>
  </si>
  <si>
    <t xml:space="preserve">1. Header checkbox selects all rows on the page
2. Bulk activate, deactivate and delete work with confirmation
3. Admin role is excluded from bulk delete</t>
  </si>
  <si>
    <t xml:space="preserve">FR-ROL-10</t>
  </si>
  <si>
    <t xml:space="preserve">2.07</t>
  </si>
  <si>
    <t xml:space="preserve">US-2.12</t>
  </si>
  <si>
    <t xml:space="preserve">As an admin, I want role changes written to the audit log so that changes can be reviewed.</t>
  </si>
  <si>
    <t xml:space="preserve">1. Create, update, status change and delete are logged with before/after values
2. Audit entries are viewable by Admin only</t>
  </si>
  <si>
    <t xml:space="preserve">FR-ROL-12</t>
  </si>
  <si>
    <t xml:space="preserve">1.05</t>
  </si>
  <si>
    <t xml:space="preserve">US-2.13</t>
  </si>
  <si>
    <t xml:space="preserve">As an admin, I want to create staff users and assign them a role (Manage Users) so that roles take effect for real people.</t>
  </si>
  <si>
    <t xml:space="preserve">1. User form has name, email, phone, role, status
2. Only active roles are selectable
3. User list supports search, filter and sort</t>
  </si>
  <si>
    <t xml:space="preserve">Manage Users menu (scope to confirm)</t>
  </si>
  <si>
    <t xml:space="preserve">US-3.01</t>
  </si>
  <si>
    <t xml:space="preserve">As an admin, I want a collapsible sidebar with grouped menus so that I can navigate all modules.</t>
  </si>
  <si>
    <t xml:space="preserve">1. Groups Order Management, Users, CMS, Settings and items match the FE design
2. Active item is highlighted; expandable groups show chevron
3. Sidebar scrolls independently and collapses via arrow</t>
  </si>
  <si>
    <t xml:space="preserve">FR-GLB-01, 02</t>
  </si>
  <si>
    <t xml:space="preserve">US-3.02</t>
  </si>
  <si>
    <t xml:space="preserve">As an admin, I want a header with full-screen toggle, notification bell and profile menu so that common tools are always available.</t>
  </si>
  <si>
    <t xml:space="preserve">1. Bell shows unread count capped at "99+"
2. Full-screen toggles and exits correctly
3. Profile menu has profile and logout</t>
  </si>
  <si>
    <t xml:space="preserve">FR-GLB-03</t>
  </si>
  <si>
    <t xml:space="preserve">US-3.03</t>
  </si>
  <si>
    <t xml:space="preserve">As an admin, I want breadcrumbs and page titles on every page so that I always know where I am.</t>
  </si>
  <si>
    <t xml:space="preserve">1. Format is Home &gt; Section &gt; Page
2. Breadcrumb parents are clickable and match menu hierarchy (fixes F-01, F-08)</t>
  </si>
  <si>
    <t xml:space="preserve">FR-GLB-04</t>
  </si>
  <si>
    <t xml:space="preserve">US-3.04</t>
  </si>
  <si>
    <t xml:space="preserve">As an admin, I want consistent toasts, confirmation dialogs and inline validation so that I get clear feedback on every action.</t>
  </si>
  <si>
    <t xml:space="preserve">1. Required fields show red asterisk and inline error on submit
2. Destructive actions require confirmation
3. Success and error toasts auto-dismiss</t>
  </si>
  <si>
    <t xml:space="preserve">FR-GLB-07, 08</t>
  </si>
  <si>
    <t xml:space="preserve">US-3.05</t>
  </si>
  <si>
    <t xml:space="preserve">As an admin, I want a notification centre for low stock, expiry, new orders and vendor submissions so that I act on events without checking each module.</t>
  </si>
  <si>
    <t xml:space="preserve">1. Events create notifications with type, text, time and deep link
2. Bell count updates; mark read and mark all read work
3. Low-stock alert fires when stock ≤ threshold</t>
  </si>
  <si>
    <t xml:space="preserve">FR-PRD-021, FR-EXP-005, F-13</t>
  </si>
  <si>
    <t xml:space="preserve">2.01</t>
  </si>
  <si>
    <t xml:space="preserve">US-4.01</t>
  </si>
  <si>
    <t xml:space="preserve">As a catalogue manager, I want to manage product categories (hierarchical) so that products are organised for the storefront.</t>
  </si>
  <si>
    <t xml:space="preserve">1. Create, edit, deactivate categories with parent/child
2. Category cannot be deleted while products use it
3. Active categories feed the Add Product dropdown</t>
  </si>
  <si>
    <t xml:space="preserve">FR-PRD-002 (dependency)</t>
  </si>
  <si>
    <t xml:space="preserve">US-4.02</t>
  </si>
  <si>
    <t xml:space="preserve">As a catalogue manager, I want to manage brands so that products can be branded.</t>
  </si>
  <si>
    <t xml:space="preserve">1. Create, edit, deactivate brands with logo
2. Brand in use cannot be deleted
3. Active brands feed the Add Product dropdown</t>
  </si>
  <si>
    <t xml:space="preserve">US-4.03</t>
  </si>
  <si>
    <t xml:space="preserve">As an operations manager, I want to manage warehouses so that stock is tracked by location.</t>
  </si>
  <si>
    <t xml:space="preserve">1. Create, edit, deactivate warehouses with name, address, contact
2. Active warehouses are selectable in pricing &amp; inventory step</t>
  </si>
  <si>
    <t xml:space="preserve">FR-PRD-020 (dependency)</t>
  </si>
  <si>
    <t xml:space="preserve">US-4.04</t>
  </si>
  <si>
    <t xml:space="preserve">As a catalogue manager, I want configurable lists for shipping class, return period and warranty period so that product policies are consistent.</t>
  </si>
  <si>
    <t xml:space="preserve">1. Lists are editable by authorised users
2. Add Product step 3 reads values from these lists</t>
  </si>
  <si>
    <t xml:space="preserve">FR-PRD-022, 023</t>
  </si>
  <si>
    <t xml:space="preserve">US-5.01</t>
  </si>
  <si>
    <t xml:space="preserve">As a catalogue manager, I want to create, edit and deactivate attributes with name and unique code so that variants can be built from them.</t>
  </si>
  <si>
    <t xml:space="preserve">1. Attribute Code is unique; duplicates show an error
2. List supports search and pagination
3. Created attributes are immediately selectable</t>
  </si>
  <si>
    <t xml:space="preserve">FR-ATT-001</t>
  </si>
  <si>
    <t xml:space="preserve">US-5.02</t>
  </si>
  <si>
    <t xml:space="preserve">As a catalogue manager, I want to manage attribute values (S, M, L; Red, Grey, Brown) so that products can use standard values.</t>
  </si>
  <si>
    <t xml:space="preserve">1. Values can be added, edited, ordered and removed per attribute
2. Duplicate values within an attribute are rejected</t>
  </si>
  <si>
    <t xml:space="preserve">5.01</t>
  </si>
  <si>
    <t xml:space="preserve">US-5.03</t>
  </si>
  <si>
    <t xml:space="preserve">As a catalogue manager, I want attributes and values in use to be protected from deletion so that live products are not broken.</t>
  </si>
  <si>
    <t xml:space="preserve">1. Delete is blocked when used by products and message shows usage count
2. Deactivate option is offered instead</t>
  </si>
  <si>
    <t xml:space="preserve">FR-ATT-002</t>
  </si>
  <si>
    <t xml:space="preserve">US-6.01</t>
  </si>
  <si>
    <t xml:space="preserve">As a catalogue manager, I want a 4-step Add Product wizard with progress, checklist and Previous/Next/Cancel so that I can create a product step by step.</t>
  </si>
  <si>
    <t xml:space="preserve">1. Progress shows "Completion n/4" and updates per step
2. Previous keeps entered data; Cancel asks for confirmation
3. Failing step is highlighted when validation fails</t>
  </si>
  <si>
    <t xml:space="preserve">§3.1, FR-PRD-035</t>
  </si>
  <si>
    <t xml:space="preserve">US-6.02</t>
  </si>
  <si>
    <t xml:space="preserve">As a catalogue manager, I want to enter name, category, brand, short and full description so that the product is identified clearly.</t>
  </si>
  <si>
    <t xml:space="preserve">1. Name, Category and Brand are mandatory
2. Dropdowns load from master data
3. Short description is shown in listings</t>
  </si>
  <si>
    <t xml:space="preserve">FR-PRD-001, 002, 004</t>
  </si>
  <si>
    <t xml:space="preserve">4.01</t>
  </si>
  <si>
    <t xml:space="preserve">US-6.03</t>
  </si>
  <si>
    <t xml:space="preserve">As a catalogue manager, I want to upload up to 20 images/videos by drag-drop or browse so that the product has rich media.</t>
  </si>
  <si>
    <t xml:space="preserve">1. PNG, JPG, WEBP, GIF, MP4 up to 50 MB each; 21st file is rejected
2. Thumbnails show with remove and reorder
3. Upload progress and errors are displayed</t>
  </si>
  <si>
    <t xml:space="preserve">FR-PRD-003</t>
  </si>
  <si>
    <t xml:space="preserve">1.04</t>
  </si>
  <si>
    <t xml:space="preserve">US-6.04</t>
  </si>
  <si>
    <t xml:space="preserve">As a system, I want to auto-generate a UUID and display ID (PROD-000xxx) so that every product is uniquely identifiable.</t>
  </si>
  <si>
    <t xml:space="preserve">1. IDs are generated on first save and never change
2. Display IDs are sequential and unique</t>
  </si>
  <si>
    <t xml:space="preserve">FR-PRD-006</t>
  </si>
  <si>
    <t xml:space="preserve">US-6.05</t>
  </si>
  <si>
    <t xml:space="preserve">As a catalogue manager, I want a live preview panel with Draft badge, name, image, category, price and stock so that I see how the product will look.</t>
  </si>
  <si>
    <t xml:space="preserve">1. Preview updates in real time as I type
2. Placeholder image shown when no image
3. "Rs x" price and "n in stock" badge reflect entered values</t>
  </si>
  <si>
    <t xml:space="preserve">FR-PRD-005, 024</t>
  </si>
  <si>
    <t xml:space="preserve">6.02</t>
  </si>
  <si>
    <t xml:space="preserve">US-6.06</t>
  </si>
  <si>
    <t xml:space="preserve">As a catalogue manager, I want to pick attributes and their values as chips so that I define product options.</t>
  </si>
  <si>
    <t xml:space="preserve">1. Searchable multi-select of attributes; at least one required
2. Selecting an attribute shows its values as selectable chips
3. Each attribute block can be removed</t>
  </si>
  <si>
    <t xml:space="preserve">FR-PRD-010, 011</t>
  </si>
  <si>
    <t xml:space="preserve">5.02</t>
  </si>
  <si>
    <t xml:space="preserve">US-6.07</t>
  </si>
  <si>
    <t xml:space="preserve">As a catalogue manager, I want to create a new attribute from inside the wizard so that I do not leave my work.</t>
  </si>
  <si>
    <t xml:space="preserve">1. "New Attributes" opens modal with Name* and unique Code*
2. On Create the attribute is selectable immediately</t>
  </si>
  <si>
    <t xml:space="preserve">FR-PRD-012, FR-ATT-003</t>
  </si>
  <si>
    <t xml:space="preserve">US-6.08</t>
  </si>
  <si>
    <t xml:space="preserve">As a catalogue manager, I want a toggle to enable variant management and auto-generate combinations so that all variants are created without manual work.</t>
  </si>
  <si>
    <t xml:space="preserve">1. ON generates the Cartesian product of selected values
2. OFF treats product as simple single-SKU and step 3 captures price/stock
3. Helper text shows when no values selected</t>
  </si>
  <si>
    <t xml:space="preserve">FR-PRD-013, 015, 016</t>
  </si>
  <si>
    <t xml:space="preserve">6.06</t>
  </si>
  <si>
    <t xml:space="preserve">US-6.09</t>
  </si>
  <si>
    <t xml:space="preserve">As a catalogue manager, I want SKU, price, stock and image per variant so that each variant sells independently.</t>
  </si>
  <si>
    <t xml:space="preserve">1. SKU is unique across the system
2. Variant stock rolls up to product stock
3. Optional image per variant</t>
  </si>
  <si>
    <t xml:space="preserve">FR-PRD-014, BR-03</t>
  </si>
  <si>
    <t xml:space="preserve">6.08</t>
  </si>
  <si>
    <t xml:space="preserve">US-6.10</t>
  </si>
  <si>
    <t xml:space="preserve">As a catalogue manager, I want to set price, discount, stock, warehouse and low-stock threshold so that pricing and inventory are correct.</t>
  </si>
  <si>
    <t xml:space="preserve">1. Discount accepts % or amount and cannot exceed price; final price ≥ 0
2. Low-stock threshold is mandatory with default 10
3. Stock is stored per warehouse</t>
  </si>
  <si>
    <t xml:space="preserve">FR-PRD-020, 021, BR-04</t>
  </si>
  <si>
    <t xml:space="preserve">4.03</t>
  </si>
  <si>
    <t xml:space="preserve">US-6.11</t>
  </si>
  <si>
    <t xml:space="preserve">As a catalogue manager, I want to enter shipping dimensions, class, return and warranty periods so that delivery and policy info is complete.</t>
  </si>
  <si>
    <t xml:space="preserve">1. Weight (kg) and L/W/H (cm) accept numbers only
2. Shipping class, return period and warranty period are mandatory dropdowns</t>
  </si>
  <si>
    <t xml:space="preserve">4.04</t>
  </si>
  <si>
    <t xml:space="preserve">US-6.12</t>
  </si>
  <si>
    <t xml:space="preserve">As a catalogue manager, I want Meta Title, Meta Description and a unique URL slug so that the product ranks in search.</t>
  </si>
  <si>
    <t xml:space="preserve">1. Meta Title is required; slug is required, lowercase, hyphenated and auto-suggested from the name
2. Duplicate slug shows an error</t>
  </si>
  <si>
    <t xml:space="preserve">FR-PRD-030, 031, BR-02</t>
  </si>
  <si>
    <t xml:space="preserve">US-6.13</t>
  </si>
  <si>
    <t xml:space="preserve">As a catalogue manager, I want an SEO score and Google search preview so that I can optimise listings.</t>
  </si>
  <si>
    <t xml:space="preserve">1. Score 0–100 reaches 100 only when all checks pass
2. Preview shows title, URL breadcrumb and description with real store domain</t>
  </si>
  <si>
    <t xml:space="preserve">FR-PRD-032, 033</t>
  </si>
  <si>
    <t xml:space="preserve">6.12</t>
  </si>
  <si>
    <t xml:space="preserve">US-6.14</t>
  </si>
  <si>
    <t xml:space="preserve">As a catalogue manager, I want Featured and New Arrival flags so that marketing can highlight products.</t>
  </si>
  <si>
    <t xml:space="preserve">1. Both checkboxes save and flow to product list and storefront</t>
  </si>
  <si>
    <t xml:space="preserve">FR-PRD-034</t>
  </si>
  <si>
    <t xml:space="preserve">6.01</t>
  </si>
  <si>
    <t xml:space="preserve">US-6.15</t>
  </si>
  <si>
    <t xml:space="preserve">As a catalogue manager, I want Publish Product to validate all steps so that only complete products go live.</t>
  </si>
  <si>
    <t xml:space="preserve">1. Publish is blocked with failing step highlighted if any BR-01 field is missing
2. Product of a non-approved vendor cannot be published
3. Success sets status Published and logs audit entry</t>
  </si>
  <si>
    <t xml:space="preserve">FR-PRD-035, BR-01, BR-06</t>
  </si>
  <si>
    <t xml:space="preserve">10.05</t>
  </si>
  <si>
    <t xml:space="preserve">US-6.16</t>
  </si>
  <si>
    <t xml:space="preserve">As a catalogue manager, I want to save a draft and resume later so that I do not lose partial work.</t>
  </si>
  <si>
    <t xml:space="preserve">1. Save as Draft stores incomplete data
2. Draft appears in Draft tab and reopens at last step</t>
  </si>
  <si>
    <t xml:space="preserve">FR-PRD-036</t>
  </si>
  <si>
    <t xml:space="preserve">US-7.01</t>
  </si>
  <si>
    <t xml:space="preserve">As a catalogue manager, I want a paginated product table with tabs (All, Digital, Physical, Draft) so that I can review the catalogue.</t>
  </si>
  <si>
    <t xml:space="preserve">1. Columns match SRS: thumbnail, ID, name/brand, category, ratings, price/discount, units sold, toggles, action
2. Draft tab lists only unpublished products
3. Add Product button opens the wizard</t>
  </si>
  <si>
    <t xml:space="preserve">FR-PL-001, 007, 008</t>
  </si>
  <si>
    <t xml:space="preserve">US-7.02</t>
  </si>
  <si>
    <t xml:space="preserve">As a catalogue manager, I want to search, filter and sort products so that I find items fast.</t>
  </si>
  <si>
    <t xml:space="preserve">1. Search by name, ID, brand
2. Filter by category, brand, status, owner, price range
3. Sort ascending/descending</t>
  </si>
  <si>
    <t xml:space="preserve">FR-PL-002</t>
  </si>
  <si>
    <t xml:space="preserve">7.01</t>
  </si>
  <si>
    <t xml:space="preserve">US-7.03</t>
  </si>
  <si>
    <t xml:space="preserve">As a catalogue manager, I want inline Published, Featured and Today's Deal toggles so that I update visibility in one click.</t>
  </si>
  <si>
    <t xml:space="preserve">1. Toggle persists immediately with toast and audit entry
2. Failed save reverts toggle and shows error</t>
  </si>
  <si>
    <t xml:space="preserve">FR-PL-003</t>
  </si>
  <si>
    <t xml:space="preserve">US-7.04</t>
  </si>
  <si>
    <t xml:space="preserve">As a catalogue manager, I want Edit Info, Edit Attributes, View and Delete in the action menu so that I can maintain products.</t>
  </si>
  <si>
    <t xml:space="preserve">1. Edit opens the wizard prefilled at the right step
2. Delete asks confirmation and is a soft delete
3. View shows read-only product detail</t>
  </si>
  <si>
    <t xml:space="preserve">FR-PL-004, BR-08</t>
  </si>
  <si>
    <t xml:space="preserve">US-7.05</t>
  </si>
  <si>
    <t xml:space="preserve">As a catalogue manager, I want bulk Export All and Delete Selected so that I handle many products at once.</t>
  </si>
  <si>
    <t xml:space="preserve">1. Export downloads CSV/XLSX of current filter
2. Delete Selected is disabled until rows are selected</t>
  </si>
  <si>
    <t xml:space="preserve">FR-PL-005</t>
  </si>
  <si>
    <t xml:space="preserve">US-7.06</t>
  </si>
  <si>
    <t xml:space="preserve">As a catalogue manager, I want a View Stock link showing stock per warehouse and variant so that I can check inventory.</t>
  </si>
  <si>
    <t xml:space="preserve">1. Popup lists warehouse, variant, quantity</t>
  </si>
  <si>
    <t xml:space="preserve">FR-PL-006</t>
  </si>
  <si>
    <t xml:space="preserve">US-8.01</t>
  </si>
  <si>
    <t xml:space="preserve">As a catalogue manager, I want a table of products by expiry (No., Product, Category, Stock Left, Created, Days Left, Status, Action) so that I see what is expiring.</t>
  </si>
  <si>
    <t xml:space="preserve">1. Breadcrumb Home &gt; Product Management &gt; Product &gt; Expire Product
2. Pagination and empty state work</t>
  </si>
  <si>
    <t xml:space="preserve">FR-EXP-001</t>
  </si>
  <si>
    <t xml:space="preserve">6.15</t>
  </si>
  <si>
    <t xml:space="preserve">US-8.02</t>
  </si>
  <si>
    <t xml:space="preserve">As a catalogue manager, I want colour-coded Safe / Near Expiry / Expired status so that I spot risks at a glance.</t>
  </si>
  <si>
    <t xml:space="preserve">1. Status derived from Days Left; Safe &gt; 14 days (configurable)
2. Colours match design</t>
  </si>
  <si>
    <t xml:space="preserve">FR-EXP-002</t>
  </si>
  <si>
    <t xml:space="preserve">8.01</t>
  </si>
  <si>
    <t xml:space="preserve">US-8.03</t>
  </si>
  <si>
    <t xml:space="preserve">As a catalogue manager, I want View Details, Update Stock, Mark Reviewed and Archive actions so that expiring stock is handled.</t>
  </si>
  <si>
    <t xml:space="preserve">1. Archive removes product from sale
2. Super Admin can restore archived products
3. Each action is audited</t>
  </si>
  <si>
    <t xml:space="preserve">FR-EXP-003</t>
  </si>
  <si>
    <t xml:space="preserve">US-8.04</t>
  </si>
  <si>
    <t xml:space="preserve">As a catalogue manager, I want search, filter, sort, export and bulk delete on the expiry table so that I manage lots quickly.</t>
  </si>
  <si>
    <t xml:space="preserve">1. All controls behave as in product list
2. Bulk delete needs confirmation</t>
  </si>
  <si>
    <t xml:space="preserve">FR-EXP-004</t>
  </si>
  <si>
    <t xml:space="preserve">US-8.05</t>
  </si>
  <si>
    <t xml:space="preserve">As a catalogue manager, I want an expiry date captured at product or batch level so that expiry is accurate, not guessed from Created date.</t>
  </si>
  <si>
    <t xml:space="preserve">1. Expiry date field exists in product/stock entry
2. Days Left uses expiry date only</t>
  </si>
  <si>
    <t xml:space="preserve">FR-EXP-006</t>
  </si>
  <si>
    <t xml:space="preserve">6.10</t>
  </si>
  <si>
    <t xml:space="preserve">US-8.06</t>
  </si>
  <si>
    <t xml:space="preserve">As a system, I want to notify and auto-unpublish expired products (configurable) so that expired products are never sold.</t>
  </si>
  <si>
    <t xml:space="preserve">1. Daily job flags Near Expiry and Expired and sends notifications
2. Expired products cannot be sold (BR-05)
3. Auto-unpublish can be switched off</t>
  </si>
  <si>
    <t xml:space="preserve">FR-EXP-005, BR-05</t>
  </si>
  <si>
    <t xml:space="preserve">3.05</t>
  </si>
  <si>
    <t xml:space="preserve">US-9.01</t>
  </si>
  <si>
    <t xml:space="preserve">As an order manager, I want an order list (Order No., customer, product, total NPR, payment method, status, created, action) so that I track all orders.</t>
  </si>
  <si>
    <t xml:space="preserve">1. Created time is shown in NPT, readable format
2. Multi-item orders show all items or "n items" with drill-down
3. Pagination and empty state work</t>
  </si>
  <si>
    <t xml:space="preserve">FR-ORD-001, 002, 006</t>
  </si>
  <si>
    <t xml:space="preserve">US-9.02</t>
  </si>
  <si>
    <t xml:space="preserve">As an order manager, I want search, filter and sort orders so that I find orders fast.</t>
  </si>
  <si>
    <t xml:space="preserve">1. Filter by status, payment method, date range, customer
2. Search by order number and customer</t>
  </si>
  <si>
    <t xml:space="preserve">FR-ORD-003</t>
  </si>
  <si>
    <t xml:space="preserve">9.01</t>
  </si>
  <si>
    <t xml:space="preserve">US-9.03</t>
  </si>
  <si>
    <t xml:space="preserve">As an order manager, I want Export and Bulk Action on orders so that I process batches.</t>
  </si>
  <si>
    <t xml:space="preserve">1. Export downloads current filter in CSV/XLSX
2. Bulk status update for selected orders</t>
  </si>
  <si>
    <t xml:space="preserve">US-9.04</t>
  </si>
  <si>
    <t xml:space="preserve">As an order manager, I want a status lifecycle with history so that fulfilment is controlled and traceable.</t>
  </si>
  <si>
    <t xml:space="preserve">1. Pending → Confirmed → Packed → Shipped → Delivered; also Cancelled, Returned, Refunded
2. Invalid transitions are blocked
3. Each change logs user and time</t>
  </si>
  <si>
    <t xml:space="preserve">FR-ORD-005</t>
  </si>
  <si>
    <t xml:space="preserve">US-9.05</t>
  </si>
  <si>
    <t xml:space="preserve">As an order manager, I want View, Update Status and Cancel in the action menu so that I can act on an order.</t>
  </si>
  <si>
    <t xml:space="preserve">1. Cancel allowed only before Shipped (BR-07)
2. View shows items, address, payment and history</t>
  </si>
  <si>
    <t xml:space="preserve">FR-ORD-007, BR-07</t>
  </si>
  <si>
    <t xml:space="preserve">9.04</t>
  </si>
  <si>
    <t xml:space="preserve">US-9.06</t>
  </si>
  <si>
    <t xml:space="preserve">As an order manager, I want to print an invoice so that customers receive documents.</t>
  </si>
  <si>
    <t xml:space="preserve">1. PDF shows order, items, NPR totals, tax, store details</t>
  </si>
  <si>
    <t xml:space="preserve">FR-ORD-007</t>
  </si>
  <si>
    <t xml:space="preserve">9.05</t>
  </si>
  <si>
    <t xml:space="preserve">US-9.07</t>
  </si>
  <si>
    <t xml:space="preserve">As an order manager, I want to create an order manually (customer, items, payment, address) so that phone and walk-in orders are captured.</t>
  </si>
  <si>
    <t xml:space="preserve">1. Customer and products searchable; totals auto-calculate
2. Order is saved with Pending status</t>
  </si>
  <si>
    <t xml:space="preserve">FR-ORD-004</t>
  </si>
  <si>
    <t xml:space="preserve">US-9.08</t>
  </si>
  <si>
    <t xml:space="preserve">As a system, I want payment method and status synced from Khalti and eSewa so that order payment state is accurate.</t>
  </si>
  <si>
    <t xml:space="preserve">1. Webhook updates payment status; failed callbacks are retried
2. Payment reference is stored on the order</t>
  </si>
  <si>
    <t xml:space="preserve">Payment dependency (scope to confirm)</t>
  </si>
  <si>
    <t xml:space="preserve">US-10.01</t>
  </si>
  <si>
    <t xml:space="preserve">As a vendor manager, I want a vendor list (name, email, phone, category, location, joined, status, action) so that I see all sellers.</t>
  </si>
  <si>
    <t xml:space="preserve">1. Empty state "No vendors found"
2. Pagination works</t>
  </si>
  <si>
    <t xml:space="preserve">FR-VEN-001</t>
  </si>
  <si>
    <t xml:space="preserve">US-10.02</t>
  </si>
  <si>
    <t xml:space="preserve">As a vendor manager, I want to add a vendor with business and contact details so that sellers can be onboarded.</t>
  </si>
  <si>
    <t xml:space="preserve">1. All basic fields are mandatory
2. Email format, +977 phone, unique email/phone/registration no./PAN are validated</t>
  </si>
  <si>
    <t xml:space="preserve">FR-VEN-002, 005</t>
  </si>
  <si>
    <t xml:space="preserve">10.01</t>
  </si>
  <si>
    <t xml:space="preserve">US-10.03</t>
  </si>
  <si>
    <t xml:space="preserve">As a vendor manager, I want to upload business documents (Registration, PAN/VAT, TIN) in Business and Company tabs so that compliance is verified.</t>
  </si>
  <si>
    <t xml:space="preserve">1. PNG/JPG/WEBP/PDF up to 50 MB; all three documents required
2. Documents can be previewed by authorised roles</t>
  </si>
  <si>
    <t xml:space="preserve">FR-VEN-003</t>
  </si>
  <si>
    <t xml:space="preserve">US-10.04</t>
  </si>
  <si>
    <t xml:space="preserve">As a vendor manager, I want bank details captured and protected so that settlements are accurate and secure.</t>
  </si>
  <si>
    <t xml:space="preserve">1. Bank, account name, number, branch are mandatory
2. Data is encrypted at rest; account number masked in UI
3. Only authorised roles can reveal</t>
  </si>
  <si>
    <t xml:space="preserve">FR-VEN-004, 008</t>
  </si>
  <si>
    <t xml:space="preserve">10.02</t>
  </si>
  <si>
    <t xml:space="preserve">US-10.05</t>
  </si>
  <si>
    <t xml:space="preserve">As a vendor manager, I want to approve, reject (with reason) or suspend vendors so that only verified vendors sell.</t>
  </si>
  <si>
    <t xml:space="preserve">1. New vendors default to Pending Verification
2. Rejection needs a reason; vendor is notified
3. Unapproved vendors cannot publish products</t>
  </si>
  <si>
    <t xml:space="preserve">FR-VEN-006, BR-06</t>
  </si>
  <si>
    <t xml:space="preserve">US-10.06</t>
  </si>
  <si>
    <t xml:space="preserve">As a vendor manager, I want search, filter, sort and bulk actions on vendors so that I manage many sellers.</t>
  </si>
  <si>
    <t xml:space="preserve">1. Filter by status, category, location, joined date
2. Bulk suspend/export available</t>
  </si>
  <si>
    <t xml:space="preserve">FR-VEN-007</t>
  </si>
  <si>
    <t xml:space="preserve">US-11.01</t>
  </si>
  <si>
    <t xml:space="preserve">As a support agent, I want a customer table with loading and empty states so that I can see all customers.</t>
  </si>
  <si>
    <t xml:space="preserve">1. Columns S.N, customer, email, phone, status, registered on, total orders, action
2. Empty state "No customers found"
3. Server-side pagination</t>
  </si>
  <si>
    <t xml:space="preserve">FR-CUS-01, 05, 06</t>
  </si>
  <si>
    <t xml:space="preserve">US-11.02</t>
  </si>
  <si>
    <t xml:space="preserve">As a support agent, I want to search customers by name, email or phone so that I find a customer quickly.</t>
  </si>
  <si>
    <t xml:space="preserve">1. Debounced search from 2 characters
2. Combines with filter and sort</t>
  </si>
  <si>
    <t xml:space="preserve">FR-CUS-02</t>
  </si>
  <si>
    <t xml:space="preserve">11.01</t>
  </si>
  <si>
    <t xml:space="preserve">US-11.03</t>
  </si>
  <si>
    <t xml:space="preserve">As a support agent, I want to sort customers ascending or descending so that I can order the list.</t>
  </si>
  <si>
    <t xml:space="preserve">1. Sort dropdown has Ascending and Descending; default field is registration date
2. Field selector (name, date, orders) available</t>
  </si>
  <si>
    <t xml:space="preserve">FR-CUS-03</t>
  </si>
  <si>
    <t xml:space="preserve">US-11.04</t>
  </si>
  <si>
    <t xml:space="preserve">As a support agent, I want a filter panel (status, registration date, city/district) so that I narrow the list.</t>
  </si>
  <si>
    <t xml:space="preserve">1. Filters combine with search and sort
2. One-click clear all</t>
  </si>
  <si>
    <t xml:space="preserve">FR-CUS-04</t>
  </si>
  <si>
    <t xml:space="preserve">US-11.05</t>
  </si>
  <si>
    <t xml:space="preserve">As a support agent, I want a customer profile with details, addresses, orders and tickets so that I can help the customer.</t>
  </si>
  <si>
    <t xml:space="preserve">1. Profile opens from the action column
2. Order history links to order detail</t>
  </si>
  <si>
    <t xml:space="preserve">FR-CUS-07</t>
  </si>
  <si>
    <t xml:space="preserve">US-11.06</t>
  </si>
  <si>
    <t xml:space="preserve">As an admin, I want to block or unblock a customer so that abusive accounts are controlled.</t>
  </si>
  <si>
    <t xml:space="preserve">1. Blocked customers cannot log in or order (BR-08)
2. Action is audited</t>
  </si>
  <si>
    <t xml:space="preserve">FR-CUS-08, BR-08</t>
  </si>
  <si>
    <t xml:space="preserve">US-11.07</t>
  </si>
  <si>
    <t xml:space="preserve">As an admin, I want to export the filtered customer list so that data can be used for reports.</t>
  </si>
  <si>
    <t xml:space="preserve">1. CSV/XLSX export respects current filters and permissions</t>
  </si>
  <si>
    <t xml:space="preserve">FR-CUS-09</t>
  </si>
  <si>
    <t xml:space="preserve">US-11.08</t>
  </si>
  <si>
    <t xml:space="preserve">As a super admin, I want customer data limited by role with audited access so that personal data is protected.</t>
  </si>
  <si>
    <t xml:space="preserve">1. Customer Support is view-only
2. Views of personal data are logged</t>
  </si>
  <si>
    <t xml:space="preserve">FR-CUS-10, NFR-09</t>
  </si>
  <si>
    <t xml:space="preserve">2.02</t>
  </si>
  <si>
    <t xml:space="preserve">US-12.01</t>
  </si>
  <si>
    <t xml:space="preserve">As a content manager, I want to edit Home Hero fields (section name, hero text, subtitle) so that the homepage message is current.</t>
  </si>
  <si>
    <t xml:space="preserve">1. Section Name and Hero Text are required (max 100/150); Subtitle max 300
2. Inputs are enabled, not greyed (fixes F-05)</t>
  </si>
  <si>
    <t xml:space="preserve">FR-HOM-01, 02</t>
  </si>
  <si>
    <t xml:space="preserve">US-12.02</t>
  </si>
  <si>
    <t xml:space="preserve">As a content manager, I want repeatable lists for Marketplace Text, Supporting Text and Marketplace Roles so that hero copy can be extended.</t>
  </si>
  <si>
    <t xml:space="preserve">1. Add, edit, remove and reorder entries</t>
  </si>
  <si>
    <t xml:space="preserve">FR-HOM-03</t>
  </si>
  <si>
    <t xml:space="preserve">12.01</t>
  </si>
  <si>
    <t xml:space="preserve">US-12.03</t>
  </si>
  <si>
    <t xml:space="preserve">As a content manager, I want service highlight cards so that key services are shown on the homepage.</t>
  </si>
  <si>
    <t xml:space="preserve">1. Card has icon/image, title*, description, link
2. Add, edit, remove, reorder; empty text "No services added yet."</t>
  </si>
  <si>
    <t xml:space="preserve">FR-HOM-04</t>
  </si>
  <si>
    <t xml:space="preserve">US-12.04</t>
  </si>
  <si>
    <t xml:space="preserve">As a content manager, I want a section banner upload with preview so that the hero has a visual.</t>
  </si>
  <si>
    <t xml:space="preserve">1. JPG/PNG/WebP up to 2 MB with preview, replace and remove
2. Recommended size is shown</t>
  </si>
  <si>
    <t xml:space="preserve">FR-HOM-05</t>
  </si>
  <si>
    <t xml:space="preserve">US-12.05</t>
  </si>
  <si>
    <t xml:space="preserve">As a content manager, I want Create then Save Changes behaviour and Cancel confirmation so that I do not lose or duplicate content.</t>
  </si>
  <si>
    <t xml:space="preserve">1. Single record; button reads Save Changes after first save
2. Cancel with unsaved changes asks for confirmation</t>
  </si>
  <si>
    <t xml:space="preserve">FR-HOM-06, 08</t>
  </si>
  <si>
    <t xml:space="preserve">US-12.06</t>
  </si>
  <si>
    <t xml:space="preserve">As a content manager, I want saved CMS content to appear on the storefront without deployment so that updates go live quickly.</t>
  </si>
  <si>
    <t xml:space="preserve">1. Public CMS API serves Home, About and other pages
2. Cache refresh ≤ 5 minutes</t>
  </si>
  <si>
    <t xml:space="preserve">FR-HOM-07</t>
  </si>
  <si>
    <t xml:space="preserve">US-12.07</t>
  </si>
  <si>
    <t xml:space="preserve">As a content manager, I want to manage the About page (title, description, image) so that visitors learn about Hamro Mall.</t>
  </si>
  <si>
    <t xml:space="preserve">1. Title required (max 100); inline error if empty
2. Existing content loads on open; thumbnail with replace/remove
3. About and General Settings use separate data (fixes F-04)</t>
  </si>
  <si>
    <t xml:space="preserve">FR-ABT-01, 02, 04, 05</t>
  </si>
  <si>
    <t xml:space="preserve">US-12.08</t>
  </si>
  <si>
    <t xml:space="preserve">As a content manager, I want a rich-text editor with sanitised output so that content can be formatted safely.</t>
  </si>
  <si>
    <t xml:space="preserve">1. Bold, lists, links supported
2. Scripts and unsafe HTML are stripped on save</t>
  </si>
  <si>
    <t xml:space="preserve">FR-ABT-03, FR-CMS-03</t>
  </si>
  <si>
    <t xml:space="preserve">12.07</t>
  </si>
  <si>
    <t xml:space="preserve">US-12.09</t>
  </si>
  <si>
    <t xml:space="preserve">As a content manager, I want a media list with search, filter and sort so that I find files fast.</t>
  </si>
  <si>
    <t xml:space="preserve">1. Columns S.N, FileName, Extension, Name, Size, Type, Action
2. Empty state "No media found"
3. Filter by type and date</t>
  </si>
  <si>
    <t xml:space="preserve">FR-MED-01, 02</t>
  </si>
  <si>
    <t xml:space="preserve">US-12.10</t>
  </si>
  <si>
    <t xml:space="preserve">As a content manager, I want to upload a file and have metadata filled automatically so that I do not type URL, path, MIME or size.</t>
  </si>
  <si>
    <t xml:space="preserve">1. Uploading fills File Name, URL, Path, MIME, Extension and Size as read-only
2. Type dropdown defaults to IMAGE; invalid files are rejected
3. Manual entry only via advanced option</t>
  </si>
  <si>
    <t xml:space="preserve">FR-MED-03, 04, 05, F-06</t>
  </si>
  <si>
    <t xml:space="preserve">US-12.11</t>
  </si>
  <si>
    <t xml:space="preserve">As a content manager, I want preview, edit metadata, copy URL and delete media so that I can maintain the library.</t>
  </si>
  <si>
    <t xml:space="preserve">1. Delete is blocked or warned if media is used by a CMS page</t>
  </si>
  <si>
    <t xml:space="preserve">FR-MED-06</t>
  </si>
  <si>
    <t xml:space="preserve">12.09</t>
  </si>
  <si>
    <t xml:space="preserve">US-12.12</t>
  </si>
  <si>
    <t xml:space="preserve">As a content manager, I want bulk select and delete media so that cleanup is faster.</t>
  </si>
  <si>
    <t xml:space="preserve">1. Header checkbox and bulk delete with confirmation</t>
  </si>
  <si>
    <t xml:space="preserve">FR-MED-07</t>
  </si>
  <si>
    <t xml:space="preserve">US-12.13</t>
  </si>
  <si>
    <t xml:space="preserve">As a content manager, I want to pick existing media from upload zones so that files are reused.</t>
  </si>
  <si>
    <t xml:space="preserve">1. Upload zones offer "Choose from library" with search</t>
  </si>
  <si>
    <t xml:space="preserve">FR-MED-08</t>
  </si>
  <si>
    <t xml:space="preserve">US-12.14</t>
  </si>
  <si>
    <t xml:space="preserve">As a content manager, I want to manage Breadcrumb header banners so that inner pages have branded headers.</t>
  </si>
  <si>
    <t xml:space="preserve">1. List of pages with title, image, status; edit and save</t>
  </si>
  <si>
    <t xml:space="preserve">§4.3.4 (provisional)</t>
  </si>
  <si>
    <t xml:space="preserve">US-12.15</t>
  </si>
  <si>
    <t xml:space="preserve">As a content manager, I want to manage promotional banners with schedule so that campaigns are visible when needed.</t>
  </si>
  <si>
    <t xml:space="preserve">1. CRUD with image, link, placement, start/end, order, status
2. Banner shows only within schedule when Active</t>
  </si>
  <si>
    <t xml:space="preserve">US-12.16</t>
  </si>
  <si>
    <t xml:space="preserve">As a content manager, I want to write and publish blog posts so that content marketing drives traffic.</t>
  </si>
  <si>
    <t xml:space="preserve">1. CRUD with title, slug, cover, rich content, category/tags, SEO meta
2. Draft and Publish states; slug unique</t>
  </si>
  <si>
    <t xml:space="preserve">12.08</t>
  </si>
  <si>
    <t xml:space="preserve">US-12.17</t>
  </si>
  <si>
    <t xml:space="preserve">As a content manager, I want to manage testimonials so that social proof is shown.</t>
  </si>
  <si>
    <t xml:space="preserve">1. CRUD with name, designation, photo, rating, message, status, order</t>
  </si>
  <si>
    <t xml:space="preserve">US-12.18</t>
  </si>
  <si>
    <t xml:space="preserve">As a content manager, I want to manage FAQs by category so that customers find answers.</t>
  </si>
  <si>
    <t xml:space="preserve">1. CRUD with category, question, answer, order, status</t>
  </si>
  <si>
    <t xml:space="preserve">US-12.19</t>
  </si>
  <si>
    <t xml:space="preserve">As a content manager, I want to edit contact details and handle enquiries so that customers can reach us.</t>
  </si>
  <si>
    <t xml:space="preserve">1. Edit address, phone, email, map link, hours
2. Enquiry inbox with status and reply</t>
  </si>
  <si>
    <t xml:space="preserve">US-12.20</t>
  </si>
  <si>
    <t xml:space="preserve">As a marketing manager, I want to manage marketing campaigns so that promotions are organised.</t>
  </si>
  <si>
    <t xml:space="preserve">1. CRUD campaign with audience, period, offer link, status
2. Performance summary per campaign</t>
  </si>
  <si>
    <t xml:space="preserve">12.15</t>
  </si>
  <si>
    <t xml:space="preserve">US-12.21</t>
  </si>
  <si>
    <t xml:space="preserve">As a content manager, I want CMS content to publish only when Active and in schedule so that unfinished content never goes live.</t>
  </si>
  <si>
    <t xml:space="preserve">1. Inactive or out-of-schedule items are excluded from public API
2. Common toolbar, table and status toggle used on all CMS lists</t>
  </si>
  <si>
    <t xml:space="preserve">FR-CMS-01, 02, BR-05</t>
  </si>
  <si>
    <t xml:space="preserve">12.06</t>
  </si>
  <si>
    <t xml:space="preserve">US-13.01</t>
  </si>
  <si>
    <t xml:space="preserve">As an admin, I want to edit General Settings (title, description, image) so that platform identity is controlled.</t>
  </si>
  <si>
    <t xml:space="preserve">1. Title required; Save Changes persists
2. Changes appear in admin and storefront without redeploy</t>
  </si>
  <si>
    <t xml:space="preserve">FR-SET-01, 03</t>
  </si>
  <si>
    <t xml:space="preserve">US-13.02</t>
  </si>
  <si>
    <t xml:space="preserve">As an admin, I want extra general fields (logo, favicon, contact, address, social, language, time zone, currency) so that settings cover real operations.</t>
  </si>
  <si>
    <t xml:space="preserve">1. Fields validate (email, phone, URL)
2. Default time zone Asia/Kathmandu; currency NPR</t>
  </si>
  <si>
    <t xml:space="preserve">FR-SET-02</t>
  </si>
  <si>
    <t xml:space="preserve">13.01</t>
  </si>
  <si>
    <t xml:space="preserve">US-13.03</t>
  </si>
  <si>
    <t xml:space="preserve">As an admin, I want to maintain policies (Terms, Privacy, Return, Shipping) with versions so that legal pages stay current.</t>
  </si>
  <si>
    <t xml:space="preserve">1. Rich text with version date and publish status
2. Storefront shows latest published version</t>
  </si>
  <si>
    <t xml:space="preserve">FR-SET-04</t>
  </si>
  <si>
    <t xml:space="preserve">US-13.04</t>
  </si>
  <si>
    <t xml:space="preserve">As a super admin, I want security settings (password rules, session timeout, 2FA, lockout, IP allow-list) so that the panel is hardened.</t>
  </si>
  <si>
    <t xml:space="preserve">1. Only Admin can open Security
2. Rules apply at next login
3. 2FA enrolment works for admin users</t>
  </si>
  <si>
    <t xml:space="preserve">FR-SET-05</t>
  </si>
  <si>
    <t xml:space="preserve">US-13.05</t>
  </si>
  <si>
    <t xml:space="preserve">As an admin, I want to manage currencies and exchange rates so that pricing can support more than NPR.</t>
  </si>
  <si>
    <t xml:space="preserve">1. Exactly one default currency; default cannot be deleted
2. Rate history is kept</t>
  </si>
  <si>
    <t xml:space="preserve">FR-SET-06, BR-07</t>
  </si>
  <si>
    <t xml:space="preserve">US-13.06</t>
  </si>
  <si>
    <t xml:space="preserve">As a marketing manager, I want a subscriber list with export and unsubscribe so that newsletters respect consent.</t>
  </si>
  <si>
    <t xml:space="preserve">1. Search, filter, export, delete
2. Unsubscribed emails are excluded from sends</t>
  </si>
  <si>
    <t xml:space="preserve">FR-SET-07</t>
  </si>
  <si>
    <t xml:space="preserve">US-14.01</t>
  </si>
  <si>
    <t xml:space="preserve">As an user, I want list pages to load within 3 seconds for 10,000 records so that the panel feels fast.</t>
  </si>
  <si>
    <t xml:space="preserve">1. Server-side pagination, search, sort with indexes
2. Saves complete within 2 seconds
3. Load test report signed off</t>
  </si>
  <si>
    <t xml:space="preserve">Frontend Dev, Backend Dev, QA Engineer, DevOps Engineer</t>
  </si>
  <si>
    <t xml:space="preserve">NFR-03</t>
  </si>
  <si>
    <t xml:space="preserve">All lists</t>
  </si>
  <si>
    <t xml:space="preserve">US-14.02</t>
  </si>
  <si>
    <t xml:space="preserve">As a security officer, I want security hardening and penetration test fixes so that data and users are protected.</t>
  </si>
  <si>
    <t xml:space="preserve">1. No critical or high findings open
2. TLS 1.2+, CSRF/XSS/injection protections verified
3. Vendor bank and document data encrypted at rest</t>
  </si>
  <si>
    <t xml:space="preserve">NFR-01, 02, FR-VEN-008</t>
  </si>
  <si>
    <t xml:space="preserve">All modules</t>
  </si>
  <si>
    <t xml:space="preserve">US-14.03</t>
  </si>
  <si>
    <t xml:space="preserve">As an user, I want accessible, cross-browser screens so that everyone can use the panel.</t>
  </si>
  <si>
    <t xml:space="preserve">1. WCAG 2.1 AA checks pass; icon buttons have labels/tooltips (F-11)
2. Works on latest Chrome, Edge, Firefox, Safari; tablet width</t>
  </si>
  <si>
    <t xml:space="preserve">NFR-06, 07, F-11</t>
  </si>
  <si>
    <t xml:space="preserve">US-14.04</t>
  </si>
  <si>
    <t xml:space="preserve">As an operator, I want Nepal formats and Unicode content so that local data displays correctly.</t>
  </si>
  <si>
    <t xml:space="preserve">1. Dates in NPT, amounts in NPR
2. Nepali text saves and displays without corruption</t>
  </si>
  <si>
    <t xml:space="preserve">NFR-11, FR-ORD-002</t>
  </si>
  <si>
    <t xml:space="preserve">US-14.05</t>
  </si>
  <si>
    <t xml:space="preserve">As a developer, I want automated unit, API and end-to-end tests so that regressions are caught early.</t>
  </si>
  <si>
    <t xml:space="preserve">1. Core flows (login, role CRUD, product publish, order status, vendor approval) covered end to end
2. Suite runs in CI on every merge</t>
  </si>
  <si>
    <t xml:space="preserve">NFR-10</t>
  </si>
  <si>
    <t xml:space="preserve">US-14.06</t>
  </si>
  <si>
    <t xml:space="preserve">As a project team, I want SIT/UAT support and defect fixing so that the client can sign off.</t>
  </si>
  <si>
    <t xml:space="preserve">1. Critical and high defects closed; medium agreed
2. UAT sign-off recorded</t>
  </si>
  <si>
    <t xml:space="preserve">—</t>
  </si>
  <si>
    <t xml:space="preserve">US-14.07</t>
  </si>
  <si>
    <t xml:space="preserve">As an operator, I want production deployment, monitoring, backups, runbook and admin training material so that the system is supportable.</t>
  </si>
  <si>
    <t xml:space="preserve">1. Monitoring and alerts live; daily backups tested by restore
2. Runbook and user guide delivered</t>
  </si>
  <si>
    <t xml:space="preserve">NFR-04</t>
  </si>
  <si>
    <t xml:space="preserve">14.06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</si>
</sst>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#,##0.0"/>
    <numFmt numFmtId="168" formatCode="General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D28D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  <fill>
      <patternFill patternType="solid">
        <fgColor rgb="FFEDE9FE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6D28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9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 t="n">
        <v>0.1</v>
      </c>
    </row>
    <row r="6" customFormat="false" ht="15" hidden="false" customHeight="false" outlineLevel="0" collapsed="false">
      <c r="A6" s="4" t="s">
        <v>4</v>
      </c>
      <c r="C6" s="6" t="n">
        <v>35</v>
      </c>
    </row>
    <row r="7" customFormat="false" ht="15" hidden="false" customHeight="false" outlineLevel="0" collapsed="false">
      <c r="A7" s="4" t="s">
        <v>5</v>
      </c>
      <c r="C7" s="6" t="n">
        <v>6</v>
      </c>
    </row>
    <row r="8" customFormat="false" ht="15" hidden="false" customHeight="false" outlineLevel="0" collapsed="false">
      <c r="A8" s="4" t="s">
        <v>6</v>
      </c>
      <c r="C8" s="7" t="n">
        <f aca="false">WBS!M116</f>
        <v>3215</v>
      </c>
    </row>
    <row r="9" customFormat="false" ht="15" hidden="false" customHeight="false" outlineLevel="0" collapsed="false">
      <c r="A9" s="4" t="s">
        <v>7</v>
      </c>
      <c r="C9" s="7" t="n">
        <f aca="false">C8*(1+C5)</f>
        <v>3536.5</v>
      </c>
    </row>
    <row r="10" customFormat="false" ht="15" hidden="false" customHeight="false" outlineLevel="0" collapsed="false">
      <c r="A10" s="4" t="s">
        <v>8</v>
      </c>
      <c r="C10" s="8" t="n">
        <f aca="false">C9/C6</f>
        <v>101.042857142857</v>
      </c>
    </row>
    <row r="11" customFormat="false" ht="15" hidden="false" customHeight="false" outlineLevel="0" collapsed="false">
      <c r="A11" s="4" t="s">
        <v>9</v>
      </c>
      <c r="C11" s="8" t="n">
        <f aca="false">C10/C7</f>
        <v>16.8404761904762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9" t="s">
        <v>11</v>
      </c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  <c r="I14" s="9" t="s">
        <v>19</v>
      </c>
    </row>
    <row r="15" customFormat="false" ht="15" hidden="false" customHeight="false" outlineLevel="0" collapsed="false">
      <c r="A15" s="10" t="s">
        <v>20</v>
      </c>
      <c r="B15" s="10" t="s">
        <v>21</v>
      </c>
      <c r="C15" s="11" t="n">
        <f aca="false">COUNTIF(WBS!$A$2:$A$115,A15)</f>
        <v>5</v>
      </c>
      <c r="D15" s="11" t="n">
        <f aca="false">SUMIFS(WBS!$I$2:$I$115,WBS!$A$2:$A$115,$A15)</f>
        <v>44</v>
      </c>
      <c r="E15" s="11" t="n">
        <f aca="false">SUMIFS(WBS!$J$2:$J$115,WBS!$A$2:$A$115,$A15)</f>
        <v>76</v>
      </c>
      <c r="F15" s="11" t="n">
        <f aca="false">SUMIFS(WBS!$K$2:$K$115,WBS!$A$2:$A$115,$A15)</f>
        <v>26</v>
      </c>
      <c r="G15" s="11" t="n">
        <f aca="false">SUMIFS(WBS!$L$2:$L$115,WBS!$A$2:$A$115,$A15)</f>
        <v>32</v>
      </c>
      <c r="H15" s="11" t="n">
        <f aca="false">SUM(D15:G15)</f>
        <v>178</v>
      </c>
      <c r="I15" s="12" t="n">
        <f aca="false">IF($C$8=0,0,H15/$C$8)</f>
        <v>0.0553654743390358</v>
      </c>
    </row>
    <row r="16" customFormat="false" ht="15" hidden="false" customHeight="false" outlineLevel="0" collapsed="false">
      <c r="A16" s="10" t="s">
        <v>22</v>
      </c>
      <c r="B16" s="10" t="s">
        <v>23</v>
      </c>
      <c r="C16" s="11" t="n">
        <f aca="false">COUNTIF(WBS!$A$2:$A$115,A16)</f>
        <v>13</v>
      </c>
      <c r="D16" s="11" t="n">
        <f aca="false">SUMIFS(WBS!$I$2:$I$115,WBS!$A$2:$A$115,$A16)</f>
        <v>120</v>
      </c>
      <c r="E16" s="11" t="n">
        <f aca="false">SUMIFS(WBS!$J$2:$J$115,WBS!$A$2:$A$115,$A16)</f>
        <v>144</v>
      </c>
      <c r="F16" s="11" t="n">
        <f aca="false">SUMIFS(WBS!$K$2:$K$115,WBS!$A$2:$A$115,$A16)</f>
        <v>75</v>
      </c>
      <c r="G16" s="11" t="n">
        <f aca="false">SUMIFS(WBS!$L$2:$L$115,WBS!$A$2:$A$115,$A16)</f>
        <v>0</v>
      </c>
      <c r="H16" s="11" t="n">
        <f aca="false">SUM(D16:G16)</f>
        <v>339</v>
      </c>
      <c r="I16" s="12" t="n">
        <f aca="false">IF($C$8=0,0,H16/$C$8)</f>
        <v>0.105443234836703</v>
      </c>
    </row>
    <row r="17" customFormat="false" ht="15" hidden="false" customHeight="false" outlineLevel="0" collapsed="false">
      <c r="A17" s="10" t="s">
        <v>24</v>
      </c>
      <c r="B17" s="10" t="s">
        <v>25</v>
      </c>
      <c r="C17" s="11" t="n">
        <f aca="false">COUNTIF(WBS!$A$2:$A$115,A17)</f>
        <v>5</v>
      </c>
      <c r="D17" s="11" t="n">
        <f aca="false">SUMIFS(WBS!$I$2:$I$115,WBS!$A$2:$A$115,$A17)</f>
        <v>58</v>
      </c>
      <c r="E17" s="11" t="n">
        <f aca="false">SUMIFS(WBS!$J$2:$J$115,WBS!$A$2:$A$115,$A17)</f>
        <v>26</v>
      </c>
      <c r="F17" s="11" t="n">
        <f aca="false">SUMIFS(WBS!$K$2:$K$115,WBS!$A$2:$A$115,$A17)</f>
        <v>21</v>
      </c>
      <c r="G17" s="11" t="n">
        <f aca="false">SUMIFS(WBS!$L$2:$L$115,WBS!$A$2:$A$115,$A17)</f>
        <v>0</v>
      </c>
      <c r="H17" s="11" t="n">
        <f aca="false">SUM(D17:G17)</f>
        <v>105</v>
      </c>
      <c r="I17" s="12" t="n">
        <f aca="false">IF($C$8=0,0,H17/$C$8)</f>
        <v>0.0326594090202177</v>
      </c>
    </row>
    <row r="18" customFormat="false" ht="15" hidden="false" customHeight="false" outlineLevel="0" collapsed="false">
      <c r="A18" s="10" t="s">
        <v>26</v>
      </c>
      <c r="B18" s="10" t="s">
        <v>27</v>
      </c>
      <c r="C18" s="11" t="n">
        <f aca="false">COUNTIF(WBS!$A$2:$A$115,A18)</f>
        <v>4</v>
      </c>
      <c r="D18" s="11" t="n">
        <f aca="false">SUMIFS(WBS!$I$2:$I$115,WBS!$A$2:$A$115,$A18)</f>
        <v>52</v>
      </c>
      <c r="E18" s="11" t="n">
        <f aca="false">SUMIFS(WBS!$J$2:$J$115,WBS!$A$2:$A$115,$A18)</f>
        <v>42</v>
      </c>
      <c r="F18" s="11" t="n">
        <f aca="false">SUMIFS(WBS!$K$2:$K$115,WBS!$A$2:$A$115,$A18)</f>
        <v>22</v>
      </c>
      <c r="G18" s="11" t="n">
        <f aca="false">SUMIFS(WBS!$L$2:$L$115,WBS!$A$2:$A$115,$A18)</f>
        <v>0</v>
      </c>
      <c r="H18" s="11" t="n">
        <f aca="false">SUM(D18:G18)</f>
        <v>116</v>
      </c>
      <c r="I18" s="12" t="n">
        <f aca="false">IF($C$8=0,0,H18/$C$8)</f>
        <v>0.0360808709175739</v>
      </c>
    </row>
    <row r="19" customFormat="false" ht="15" hidden="false" customHeight="false" outlineLevel="0" collapsed="false">
      <c r="A19" s="10" t="s">
        <v>28</v>
      </c>
      <c r="B19" s="10" t="s">
        <v>29</v>
      </c>
      <c r="C19" s="11" t="n">
        <f aca="false">COUNTIF(WBS!$A$2:$A$115,A19)</f>
        <v>3</v>
      </c>
      <c r="D19" s="11" t="n">
        <f aca="false">SUMIFS(WBS!$I$2:$I$115,WBS!$A$2:$A$115,$A19)</f>
        <v>30</v>
      </c>
      <c r="E19" s="11" t="n">
        <f aca="false">SUMIFS(WBS!$J$2:$J$115,WBS!$A$2:$A$115,$A19)</f>
        <v>26</v>
      </c>
      <c r="F19" s="11" t="n">
        <f aca="false">SUMIFS(WBS!$K$2:$K$115,WBS!$A$2:$A$115,$A19)</f>
        <v>15</v>
      </c>
      <c r="G19" s="11" t="n">
        <f aca="false">SUMIFS(WBS!$L$2:$L$115,WBS!$A$2:$A$115,$A19)</f>
        <v>0</v>
      </c>
      <c r="H19" s="11" t="n">
        <f aca="false">SUM(D19:G19)</f>
        <v>71</v>
      </c>
      <c r="I19" s="12" t="n">
        <f aca="false">IF($C$8=0,0,H19/$C$8)</f>
        <v>0.0220839813374806</v>
      </c>
    </row>
    <row r="20" customFormat="false" ht="15" hidden="false" customHeight="false" outlineLevel="0" collapsed="false">
      <c r="A20" s="10" t="s">
        <v>30</v>
      </c>
      <c r="B20" s="10" t="s">
        <v>31</v>
      </c>
      <c r="C20" s="11" t="n">
        <f aca="false">COUNTIF(WBS!$A$2:$A$115,A20)</f>
        <v>16</v>
      </c>
      <c r="D20" s="11" t="n">
        <f aca="false">SUMIFS(WBS!$I$2:$I$115,WBS!$A$2:$A$115,$A20)</f>
        <v>202</v>
      </c>
      <c r="E20" s="11" t="n">
        <f aca="false">SUMIFS(WBS!$J$2:$J$115,WBS!$A$2:$A$115,$A20)</f>
        <v>98</v>
      </c>
      <c r="F20" s="11" t="n">
        <f aca="false">SUMIFS(WBS!$K$2:$K$115,WBS!$A$2:$A$115,$A20)</f>
        <v>81</v>
      </c>
      <c r="G20" s="11" t="n">
        <f aca="false">SUMIFS(WBS!$L$2:$L$115,WBS!$A$2:$A$115,$A20)</f>
        <v>0</v>
      </c>
      <c r="H20" s="11" t="n">
        <f aca="false">SUM(D20:G20)</f>
        <v>381</v>
      </c>
      <c r="I20" s="12" t="n">
        <f aca="false">IF($C$8=0,0,H20/$C$8)</f>
        <v>0.11850699844479</v>
      </c>
    </row>
    <row r="21" customFormat="false" ht="15" hidden="false" customHeight="false" outlineLevel="0" collapsed="false">
      <c r="A21" s="10" t="s">
        <v>32</v>
      </c>
      <c r="B21" s="10" t="s">
        <v>33</v>
      </c>
      <c r="C21" s="11" t="n">
        <f aca="false">COUNTIF(WBS!$A$2:$A$115,A21)</f>
        <v>6</v>
      </c>
      <c r="D21" s="11" t="n">
        <f aca="false">SUMIFS(WBS!$I$2:$I$115,WBS!$A$2:$A$115,$A21)</f>
        <v>76</v>
      </c>
      <c r="E21" s="11" t="n">
        <f aca="false">SUMIFS(WBS!$J$2:$J$115,WBS!$A$2:$A$115,$A21)</f>
        <v>68</v>
      </c>
      <c r="F21" s="11" t="n">
        <f aca="false">SUMIFS(WBS!$K$2:$K$115,WBS!$A$2:$A$115,$A21)</f>
        <v>36</v>
      </c>
      <c r="G21" s="11" t="n">
        <f aca="false">SUMIFS(WBS!$L$2:$L$115,WBS!$A$2:$A$115,$A21)</f>
        <v>0</v>
      </c>
      <c r="H21" s="11" t="n">
        <f aca="false">SUM(D21:G21)</f>
        <v>180</v>
      </c>
      <c r="I21" s="12" t="n">
        <f aca="false">IF($C$8=0,0,H21/$C$8)</f>
        <v>0.0559875583203733</v>
      </c>
    </row>
    <row r="22" customFormat="false" ht="15" hidden="false" customHeight="false" outlineLevel="0" collapsed="false">
      <c r="A22" s="10" t="s">
        <v>34</v>
      </c>
      <c r="B22" s="10" t="s">
        <v>35</v>
      </c>
      <c r="C22" s="11" t="n">
        <f aca="false">COUNTIF(WBS!$A$2:$A$115,A22)</f>
        <v>6</v>
      </c>
      <c r="D22" s="11" t="n">
        <f aca="false">SUMIFS(WBS!$I$2:$I$115,WBS!$A$2:$A$115,$A22)</f>
        <v>46</v>
      </c>
      <c r="E22" s="11" t="n">
        <f aca="false">SUMIFS(WBS!$J$2:$J$115,WBS!$A$2:$A$115,$A22)</f>
        <v>68</v>
      </c>
      <c r="F22" s="11" t="n">
        <f aca="false">SUMIFS(WBS!$K$2:$K$115,WBS!$A$2:$A$115,$A22)</f>
        <v>30</v>
      </c>
      <c r="G22" s="11" t="n">
        <f aca="false">SUMIFS(WBS!$L$2:$L$115,WBS!$A$2:$A$115,$A22)</f>
        <v>0</v>
      </c>
      <c r="H22" s="11" t="n">
        <f aca="false">SUM(D22:G22)</f>
        <v>144</v>
      </c>
      <c r="I22" s="12" t="n">
        <f aca="false">IF($C$8=0,0,H22/$C$8)</f>
        <v>0.0447900466562986</v>
      </c>
    </row>
    <row r="23" customFormat="false" ht="15" hidden="false" customHeight="false" outlineLevel="0" collapsed="false">
      <c r="A23" s="10" t="s">
        <v>36</v>
      </c>
      <c r="B23" s="10" t="s">
        <v>37</v>
      </c>
      <c r="C23" s="11" t="n">
        <f aca="false">COUNTIF(WBS!$A$2:$A$115,A23)</f>
        <v>8</v>
      </c>
      <c r="D23" s="11" t="n">
        <f aca="false">SUMIFS(WBS!$I$2:$I$115,WBS!$A$2:$A$115,$A23)</f>
        <v>88</v>
      </c>
      <c r="E23" s="11" t="n">
        <f aca="false">SUMIFS(WBS!$J$2:$J$115,WBS!$A$2:$A$115,$A23)</f>
        <v>112</v>
      </c>
      <c r="F23" s="11" t="n">
        <f aca="false">SUMIFS(WBS!$K$2:$K$115,WBS!$A$2:$A$115,$A23)</f>
        <v>50</v>
      </c>
      <c r="G23" s="11" t="n">
        <f aca="false">SUMIFS(WBS!$L$2:$L$115,WBS!$A$2:$A$115,$A23)</f>
        <v>0</v>
      </c>
      <c r="H23" s="11" t="n">
        <f aca="false">SUM(D23:G23)</f>
        <v>250</v>
      </c>
      <c r="I23" s="12" t="n">
        <f aca="false">IF($C$8=0,0,H23/$C$8)</f>
        <v>0.0777604976671851</v>
      </c>
    </row>
    <row r="24" customFormat="false" ht="15" hidden="false" customHeight="false" outlineLevel="0" collapsed="false">
      <c r="A24" s="10" t="s">
        <v>38</v>
      </c>
      <c r="B24" s="10" t="s">
        <v>39</v>
      </c>
      <c r="C24" s="11" t="n">
        <f aca="false">COUNTIF(WBS!$A$2:$A$115,A24)</f>
        <v>6</v>
      </c>
      <c r="D24" s="11" t="n">
        <f aca="false">SUMIFS(WBS!$I$2:$I$115,WBS!$A$2:$A$115,$A24)</f>
        <v>68</v>
      </c>
      <c r="E24" s="11" t="n">
        <f aca="false">SUMIFS(WBS!$J$2:$J$115,WBS!$A$2:$A$115,$A24)</f>
        <v>66</v>
      </c>
      <c r="F24" s="11" t="n">
        <f aca="false">SUMIFS(WBS!$K$2:$K$115,WBS!$A$2:$A$115,$A24)</f>
        <v>35</v>
      </c>
      <c r="G24" s="11" t="n">
        <f aca="false">SUMIFS(WBS!$L$2:$L$115,WBS!$A$2:$A$115,$A24)</f>
        <v>0</v>
      </c>
      <c r="H24" s="11" t="n">
        <f aca="false">SUM(D24:G24)</f>
        <v>169</v>
      </c>
      <c r="I24" s="12" t="n">
        <f aca="false">IF($C$8=0,0,H24/$C$8)</f>
        <v>0.0525660964230171</v>
      </c>
    </row>
    <row r="25" customFormat="false" ht="15" hidden="false" customHeight="false" outlineLevel="0" collapsed="false">
      <c r="A25" s="10" t="s">
        <v>40</v>
      </c>
      <c r="B25" s="10" t="s">
        <v>41</v>
      </c>
      <c r="C25" s="11" t="n">
        <f aca="false">COUNTIF(WBS!$A$2:$A$115,A25)</f>
        <v>8</v>
      </c>
      <c r="D25" s="11" t="n">
        <f aca="false">SUMIFS(WBS!$I$2:$I$115,WBS!$A$2:$A$115,$A25)</f>
        <v>56</v>
      </c>
      <c r="E25" s="11" t="n">
        <f aca="false">SUMIFS(WBS!$J$2:$J$115,WBS!$A$2:$A$115,$A25)</f>
        <v>68</v>
      </c>
      <c r="F25" s="11" t="n">
        <f aca="false">SUMIFS(WBS!$K$2:$K$115,WBS!$A$2:$A$115,$A25)</f>
        <v>33</v>
      </c>
      <c r="G25" s="11" t="n">
        <f aca="false">SUMIFS(WBS!$L$2:$L$115,WBS!$A$2:$A$115,$A25)</f>
        <v>0</v>
      </c>
      <c r="H25" s="11" t="n">
        <f aca="false">SUM(D25:G25)</f>
        <v>157</v>
      </c>
      <c r="I25" s="12" t="n">
        <f aca="false">IF($C$8=0,0,H25/$C$8)</f>
        <v>0.0488335925349922</v>
      </c>
    </row>
    <row r="26" customFormat="false" ht="15" hidden="false" customHeight="false" outlineLevel="0" collapsed="false">
      <c r="A26" s="10" t="s">
        <v>42</v>
      </c>
      <c r="B26" s="10" t="s">
        <v>43</v>
      </c>
      <c r="C26" s="11" t="n">
        <f aca="false">COUNTIF(WBS!$A$2:$A$115,A26)</f>
        <v>21</v>
      </c>
      <c r="D26" s="11" t="n">
        <f aca="false">SUMIFS(WBS!$I$2:$I$115,WBS!$A$2:$A$115,$A26)</f>
        <v>258</v>
      </c>
      <c r="E26" s="11" t="n">
        <f aca="false">SUMIFS(WBS!$J$2:$J$115,WBS!$A$2:$A$115,$A26)</f>
        <v>204</v>
      </c>
      <c r="F26" s="11" t="n">
        <f aca="false">SUMIFS(WBS!$K$2:$K$115,WBS!$A$2:$A$115,$A26)</f>
        <v>113</v>
      </c>
      <c r="G26" s="11" t="n">
        <f aca="false">SUMIFS(WBS!$L$2:$L$115,WBS!$A$2:$A$115,$A26)</f>
        <v>0</v>
      </c>
      <c r="H26" s="11" t="n">
        <f aca="false">SUM(D26:G26)</f>
        <v>575</v>
      </c>
      <c r="I26" s="12" t="n">
        <f aca="false">IF($C$8=0,0,H26/$C$8)</f>
        <v>0.178849144634526</v>
      </c>
    </row>
    <row r="27" customFormat="false" ht="15" hidden="false" customHeight="false" outlineLevel="0" collapsed="false">
      <c r="A27" s="10" t="s">
        <v>44</v>
      </c>
      <c r="B27" s="10" t="s">
        <v>45</v>
      </c>
      <c r="C27" s="11" t="n">
        <f aca="false">COUNTIF(WBS!$A$2:$A$115,A27)</f>
        <v>6</v>
      </c>
      <c r="D27" s="11" t="n">
        <f aca="false">SUMIFS(WBS!$I$2:$I$115,WBS!$A$2:$A$115,$A27)</f>
        <v>70</v>
      </c>
      <c r="E27" s="11" t="n">
        <f aca="false">SUMIFS(WBS!$J$2:$J$115,WBS!$A$2:$A$115,$A27)</f>
        <v>66</v>
      </c>
      <c r="F27" s="11" t="n">
        <f aca="false">SUMIFS(WBS!$K$2:$K$115,WBS!$A$2:$A$115,$A27)</f>
        <v>32</v>
      </c>
      <c r="G27" s="11" t="n">
        <f aca="false">SUMIFS(WBS!$L$2:$L$115,WBS!$A$2:$A$115,$A27)</f>
        <v>0</v>
      </c>
      <c r="H27" s="11" t="n">
        <f aca="false">SUM(D27:G27)</f>
        <v>168</v>
      </c>
      <c r="I27" s="12" t="n">
        <f aca="false">IF($C$8=0,0,H27/$C$8)</f>
        <v>0.0522550544323484</v>
      </c>
    </row>
    <row r="28" customFormat="false" ht="15" hidden="false" customHeight="false" outlineLevel="0" collapsed="false">
      <c r="A28" s="10" t="s">
        <v>46</v>
      </c>
      <c r="B28" s="10" t="s">
        <v>47</v>
      </c>
      <c r="C28" s="11" t="n">
        <f aca="false">COUNTIF(WBS!$A$2:$A$115,A28)</f>
        <v>7</v>
      </c>
      <c r="D28" s="11" t="n">
        <f aca="false">SUMIFS(WBS!$I$2:$I$115,WBS!$A$2:$A$115,$A28)</f>
        <v>104</v>
      </c>
      <c r="E28" s="11" t="n">
        <f aca="false">SUMIFS(WBS!$J$2:$J$115,WBS!$A$2:$A$115,$A28)</f>
        <v>124</v>
      </c>
      <c r="F28" s="11" t="n">
        <f aca="false">SUMIFS(WBS!$K$2:$K$115,WBS!$A$2:$A$115,$A28)</f>
        <v>118</v>
      </c>
      <c r="G28" s="11" t="n">
        <f aca="false">SUMIFS(WBS!$L$2:$L$115,WBS!$A$2:$A$115,$A28)</f>
        <v>36</v>
      </c>
      <c r="H28" s="11" t="n">
        <f aca="false">SUM(D28:G28)</f>
        <v>382</v>
      </c>
      <c r="I28" s="12" t="n">
        <f aca="false">IF($C$8=0,0,H28/$C$8)</f>
        <v>0.118818040435459</v>
      </c>
    </row>
    <row r="29" customFormat="false" ht="15" hidden="false" customHeight="false" outlineLevel="0" collapsed="false">
      <c r="A29" s="13"/>
      <c r="B29" s="13" t="s">
        <v>48</v>
      </c>
      <c r="C29" s="14" t="n">
        <f aca="false">SUM(C15:C28)</f>
        <v>114</v>
      </c>
      <c r="D29" s="14" t="n">
        <f aca="false">SUM(D15:D28)</f>
        <v>1272</v>
      </c>
      <c r="E29" s="14" t="n">
        <f aca="false">SUM(E15:E28)</f>
        <v>1188</v>
      </c>
      <c r="F29" s="14" t="n">
        <f aca="false">SUM(F15:F28)</f>
        <v>687</v>
      </c>
      <c r="G29" s="14" t="n">
        <f aca="false">SUM(G15:G28)</f>
        <v>68</v>
      </c>
      <c r="H29" s="14" t="n">
        <f aca="false">SUM(H15:H28)</f>
        <v>3215</v>
      </c>
      <c r="I29" s="15" t="n">
        <f aca="false">SUM(I15:I28)</f>
        <v>1</v>
      </c>
    </row>
    <row r="31" customFormat="false" ht="15" hidden="false" customHeight="false" outlineLevel="0" collapsed="false">
      <c r="A31" s="3" t="s">
        <v>49</v>
      </c>
    </row>
    <row r="32" customFormat="false" ht="15" hidden="false" customHeight="false" outlineLevel="0" collapsed="false">
      <c r="A32" s="9" t="s">
        <v>50</v>
      </c>
      <c r="B32" s="9" t="s">
        <v>12</v>
      </c>
      <c r="C32" s="9" t="s">
        <v>13</v>
      </c>
      <c r="D32" s="9" t="s">
        <v>14</v>
      </c>
      <c r="E32" s="9" t="s">
        <v>15</v>
      </c>
      <c r="F32" s="9" t="s">
        <v>16</v>
      </c>
      <c r="G32" s="9" t="s">
        <v>17</v>
      </c>
      <c r="H32" s="9" t="s">
        <v>18</v>
      </c>
      <c r="I32" s="9" t="s">
        <v>19</v>
      </c>
    </row>
    <row r="33" customFormat="false" ht="15" hidden="false" customHeight="false" outlineLevel="0" collapsed="false">
      <c r="A33" s="10" t="s">
        <v>51</v>
      </c>
      <c r="B33" s="10" t="s">
        <v>52</v>
      </c>
      <c r="C33" s="11" t="n">
        <f aca="false">COUNTIF(WBS!$F$2:$F$115,A33)</f>
        <v>81</v>
      </c>
      <c r="D33" s="11" t="n">
        <f aca="false">SUMIFS(WBS!$I$2:$I$115,WBS!$F$2:$F$115,$A33)</f>
        <v>872</v>
      </c>
      <c r="E33" s="11" t="n">
        <f aca="false">SUMIFS(WBS!$J$2:$J$115,WBS!$F$2:$F$115,$A33)</f>
        <v>838</v>
      </c>
      <c r="F33" s="11" t="n">
        <f aca="false">SUMIFS(WBS!$K$2:$K$115,WBS!$F$2:$F$115,$A33)</f>
        <v>469</v>
      </c>
      <c r="G33" s="11" t="n">
        <f aca="false">SUMIFS(WBS!$L$2:$L$115,WBS!$F$2:$F$115,$A33)</f>
        <v>68</v>
      </c>
      <c r="H33" s="11" t="n">
        <f aca="false">SUM(D33:G33)</f>
        <v>2247</v>
      </c>
      <c r="I33" s="12" t="n">
        <f aca="false">IF($C$8=0,0,H33/$C$8)</f>
        <v>0.698911353032659</v>
      </c>
    </row>
    <row r="34" customFormat="false" ht="15" hidden="false" customHeight="false" outlineLevel="0" collapsed="false">
      <c r="A34" s="10" t="s">
        <v>53</v>
      </c>
      <c r="B34" s="10" t="s">
        <v>54</v>
      </c>
      <c r="C34" s="11" t="n">
        <f aca="false">COUNTIF(WBS!$F$2:$F$115,A34)</f>
        <v>25</v>
      </c>
      <c r="D34" s="11" t="n">
        <f aca="false">SUMIFS(WBS!$I$2:$I$115,WBS!$F$2:$F$115,$A34)</f>
        <v>300</v>
      </c>
      <c r="E34" s="11" t="n">
        <f aca="false">SUMIFS(WBS!$J$2:$J$115,WBS!$F$2:$F$115,$A34)</f>
        <v>258</v>
      </c>
      <c r="F34" s="11" t="n">
        <f aca="false">SUMIFS(WBS!$K$2:$K$115,WBS!$F$2:$F$115,$A34)</f>
        <v>174</v>
      </c>
      <c r="G34" s="11" t="n">
        <f aca="false">SUMIFS(WBS!$L$2:$L$115,WBS!$F$2:$F$115,$A34)</f>
        <v>0</v>
      </c>
      <c r="H34" s="11" t="n">
        <f aca="false">SUM(D34:G34)</f>
        <v>732</v>
      </c>
      <c r="I34" s="12" t="n">
        <f aca="false">IF($C$8=0,0,H34/$C$8)</f>
        <v>0.227682737169518</v>
      </c>
    </row>
    <row r="35" customFormat="false" ht="15" hidden="false" customHeight="false" outlineLevel="0" collapsed="false">
      <c r="A35" s="10" t="s">
        <v>55</v>
      </c>
      <c r="B35" s="10" t="s">
        <v>56</v>
      </c>
      <c r="C35" s="11" t="n">
        <f aca="false">COUNTIF(WBS!$F$2:$F$115,A35)</f>
        <v>8</v>
      </c>
      <c r="D35" s="11" t="n">
        <f aca="false">SUMIFS(WBS!$I$2:$I$115,WBS!$F$2:$F$115,$A35)</f>
        <v>100</v>
      </c>
      <c r="E35" s="11" t="n">
        <f aca="false">SUMIFS(WBS!$J$2:$J$115,WBS!$F$2:$F$115,$A35)</f>
        <v>92</v>
      </c>
      <c r="F35" s="11" t="n">
        <f aca="false">SUMIFS(WBS!$K$2:$K$115,WBS!$F$2:$F$115,$A35)</f>
        <v>44</v>
      </c>
      <c r="G35" s="11" t="n">
        <f aca="false">SUMIFS(WBS!$L$2:$L$115,WBS!$F$2:$F$115,$A35)</f>
        <v>0</v>
      </c>
      <c r="H35" s="11" t="n">
        <f aca="false">SUM(D35:G35)</f>
        <v>236</v>
      </c>
      <c r="I35" s="12" t="n">
        <f aca="false">IF($C$8=0,0,H35/$C$8)</f>
        <v>0.0734059097978227</v>
      </c>
    </row>
    <row r="36" customFormat="false" ht="15" hidden="false" customHeight="false" outlineLevel="0" collapsed="false">
      <c r="A36" s="13"/>
      <c r="B36" s="13" t="s">
        <v>48</v>
      </c>
      <c r="C36" s="14" t="n">
        <f aca="false">SUM(C33:C35)</f>
        <v>114</v>
      </c>
      <c r="D36" s="14" t="n">
        <f aca="false">SUM(D33:D35)</f>
        <v>1272</v>
      </c>
      <c r="E36" s="14" t="n">
        <f aca="false">SUM(E33:E35)</f>
        <v>1188</v>
      </c>
      <c r="F36" s="14" t="n">
        <f aca="false">SUM(F33:F35)</f>
        <v>687</v>
      </c>
      <c r="G36" s="14" t="n">
        <f aca="false">SUM(G33:G35)</f>
        <v>68</v>
      </c>
      <c r="H36" s="14" t="n">
        <f aca="false">SUM(H33:H35)</f>
        <v>3215</v>
      </c>
      <c r="I36" s="15" t="n">
        <f aca="false">SUM(I33:I35)</f>
        <v>1</v>
      </c>
    </row>
    <row r="38" customFormat="false" ht="15" hidden="false" customHeight="false" outlineLevel="0" collapsed="false">
      <c r="A38" s="3" t="s">
        <v>57</v>
      </c>
    </row>
    <row r="39" customFormat="false" ht="30" hidden="false" customHeight="true" outlineLevel="0" collapsed="false">
      <c r="A39" s="16" t="s">
        <v>58</v>
      </c>
      <c r="B39" s="16"/>
      <c r="C39" s="16"/>
      <c r="D39" s="16"/>
      <c r="E39" s="16"/>
      <c r="F39" s="16"/>
      <c r="G39" s="16"/>
      <c r="H39" s="16"/>
      <c r="I39" s="16"/>
    </row>
    <row r="40" customFormat="false" ht="30" hidden="false" customHeight="true" outlineLevel="0" collapsed="false">
      <c r="A40" s="16" t="s">
        <v>59</v>
      </c>
      <c r="B40" s="16"/>
      <c r="C40" s="16"/>
      <c r="D40" s="16"/>
      <c r="E40" s="16"/>
      <c r="F40" s="16"/>
      <c r="G40" s="16"/>
      <c r="H40" s="16"/>
      <c r="I40" s="16"/>
    </row>
    <row r="41" customFormat="false" ht="30" hidden="false" customHeight="true" outlineLevel="0" collapsed="false">
      <c r="A41" s="16" t="s">
        <v>60</v>
      </c>
      <c r="B41" s="16"/>
      <c r="C41" s="16"/>
      <c r="D41" s="16"/>
      <c r="E41" s="16"/>
      <c r="F41" s="16"/>
      <c r="G41" s="16"/>
      <c r="H41" s="16"/>
      <c r="I41" s="16"/>
    </row>
    <row r="42" customFormat="false" ht="30" hidden="false" customHeight="true" outlineLevel="0" collapsed="false">
      <c r="A42" s="16" t="s">
        <v>61</v>
      </c>
      <c r="B42" s="16"/>
      <c r="C42" s="16"/>
      <c r="D42" s="16"/>
      <c r="E42" s="16"/>
      <c r="F42" s="16"/>
      <c r="G42" s="16"/>
      <c r="H42" s="16"/>
      <c r="I42" s="16"/>
    </row>
    <row r="43" customFormat="false" ht="30" hidden="false" customHeight="true" outlineLevel="0" collapsed="false">
      <c r="A43" s="16" t="s">
        <v>62</v>
      </c>
      <c r="B43" s="16"/>
      <c r="C43" s="16"/>
      <c r="D43" s="16"/>
      <c r="E43" s="16"/>
      <c r="F43" s="16"/>
      <c r="G43" s="16"/>
      <c r="H43" s="16"/>
      <c r="I43" s="16"/>
    </row>
    <row r="44" customFormat="false" ht="30" hidden="false" customHeight="true" outlineLevel="0" collapsed="false">
      <c r="A44" s="16" t="s">
        <v>63</v>
      </c>
      <c r="B44" s="16"/>
      <c r="C44" s="16"/>
      <c r="D44" s="16"/>
      <c r="E44" s="16"/>
      <c r="F44" s="16"/>
      <c r="G44" s="16"/>
      <c r="H44" s="16"/>
      <c r="I44" s="16"/>
    </row>
    <row r="45" customFormat="false" ht="30" hidden="false" customHeight="true" outlineLevel="0" collapsed="false">
      <c r="A45" s="16" t="s">
        <v>64</v>
      </c>
      <c r="B45" s="16"/>
      <c r="C45" s="16"/>
      <c r="D45" s="16"/>
      <c r="E45" s="16"/>
      <c r="F45" s="16"/>
      <c r="G45" s="16"/>
      <c r="H45" s="16"/>
      <c r="I45" s="16"/>
    </row>
  </sheetData>
  <mergeCells count="7">
    <mergeCell ref="A39:I39"/>
    <mergeCell ref="A40:I40"/>
    <mergeCell ref="A41:I41"/>
    <mergeCell ref="A42:I42"/>
    <mergeCell ref="A43:I43"/>
    <mergeCell ref="A44:I44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7" min="6" style="0" width="10"/>
    <col collapsed="false" customWidth="true" hidden="false" outlineLevel="0" max="8" min="8" style="0" width="26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24"/>
    <col collapsed="false" customWidth="true" hidden="false" outlineLevel="0" max="15" min="15" style="0" width="12"/>
  </cols>
  <sheetData>
    <row r="1" customFormat="false" ht="30" hidden="false" customHeight="true" outlineLevel="0" collapsed="false">
      <c r="A1" s="17" t="s">
        <v>65</v>
      </c>
      <c r="B1" s="17" t="s">
        <v>66</v>
      </c>
      <c r="C1" s="17" t="s">
        <v>67</v>
      </c>
      <c r="D1" s="17" t="s">
        <v>68</v>
      </c>
      <c r="E1" s="17" t="s">
        <v>69</v>
      </c>
      <c r="F1" s="17" t="s">
        <v>70</v>
      </c>
      <c r="G1" s="17" t="s">
        <v>71</v>
      </c>
      <c r="H1" s="17" t="s">
        <v>72</v>
      </c>
      <c r="I1" s="17" t="s">
        <v>73</v>
      </c>
      <c r="J1" s="17" t="s">
        <v>74</v>
      </c>
      <c r="K1" s="17" t="s">
        <v>75</v>
      </c>
      <c r="L1" s="17" t="s">
        <v>76</v>
      </c>
      <c r="M1" s="17" t="s">
        <v>77</v>
      </c>
      <c r="N1" s="17" t="s">
        <v>78</v>
      </c>
      <c r="O1" s="17" t="s">
        <v>79</v>
      </c>
    </row>
    <row r="2" customFormat="false" ht="35.05" hidden="false" customHeight="false" outlineLevel="0" collapsed="false">
      <c r="A2" s="18" t="s">
        <v>20</v>
      </c>
      <c r="B2" s="19" t="s">
        <v>21</v>
      </c>
      <c r="C2" s="18" t="s">
        <v>80</v>
      </c>
      <c r="D2" s="19" t="s">
        <v>81</v>
      </c>
      <c r="E2" s="19" t="s">
        <v>82</v>
      </c>
      <c r="F2" s="20" t="s">
        <v>51</v>
      </c>
      <c r="G2" s="18" t="str">
        <f aca="false">IF(F2="Must","R1 – MVP",IF(F2="Should","R2","R3"))</f>
        <v>R1 – MVP</v>
      </c>
      <c r="H2" s="19" t="s">
        <v>83</v>
      </c>
      <c r="I2" s="21" t="n">
        <v>0</v>
      </c>
      <c r="J2" s="21" t="n">
        <v>4</v>
      </c>
      <c r="K2" s="21" t="n">
        <v>2</v>
      </c>
      <c r="L2" s="21" t="n">
        <v>24</v>
      </c>
      <c r="M2" s="22" t="n">
        <f aca="false">SUM(I2:L2)</f>
        <v>30</v>
      </c>
      <c r="N2" s="19" t="s">
        <v>84</v>
      </c>
      <c r="O2" s="19"/>
    </row>
    <row r="3" customFormat="false" ht="46.25" hidden="false" customHeight="false" outlineLevel="0" collapsed="false">
      <c r="A3" s="18" t="s">
        <v>20</v>
      </c>
      <c r="B3" s="19" t="s">
        <v>21</v>
      </c>
      <c r="C3" s="18" t="s">
        <v>85</v>
      </c>
      <c r="D3" s="19" t="s">
        <v>86</v>
      </c>
      <c r="E3" s="19" t="s">
        <v>87</v>
      </c>
      <c r="F3" s="20" t="s">
        <v>51</v>
      </c>
      <c r="G3" s="18" t="str">
        <f aca="false">IF(F3="Must","R1 – MVP",IF(F3="Should","R2","R3"))</f>
        <v>R1 – MVP</v>
      </c>
      <c r="H3" s="19" t="s">
        <v>88</v>
      </c>
      <c r="I3" s="21" t="n">
        <v>0</v>
      </c>
      <c r="J3" s="21" t="n">
        <v>28</v>
      </c>
      <c r="K3" s="21" t="n">
        <v>4</v>
      </c>
      <c r="L3" s="21" t="n">
        <v>0</v>
      </c>
      <c r="M3" s="22" t="n">
        <f aca="false">SUM(I3:L3)</f>
        <v>32</v>
      </c>
      <c r="N3" s="19" t="s">
        <v>89</v>
      </c>
      <c r="O3" s="19"/>
    </row>
    <row r="4" customFormat="false" ht="46.25" hidden="false" customHeight="false" outlineLevel="0" collapsed="false">
      <c r="A4" s="18" t="s">
        <v>20</v>
      </c>
      <c r="B4" s="19" t="s">
        <v>21</v>
      </c>
      <c r="C4" s="18" t="s">
        <v>90</v>
      </c>
      <c r="D4" s="19" t="s">
        <v>91</v>
      </c>
      <c r="E4" s="19" t="s">
        <v>92</v>
      </c>
      <c r="F4" s="20" t="s">
        <v>51</v>
      </c>
      <c r="G4" s="18" t="str">
        <f aca="false">IF(F4="Must","R1 – MVP",IF(F4="Should","R2","R3"))</f>
        <v>R1 – MVP</v>
      </c>
      <c r="H4" s="19" t="s">
        <v>93</v>
      </c>
      <c r="I4" s="21" t="n">
        <v>44</v>
      </c>
      <c r="J4" s="21" t="n">
        <v>0</v>
      </c>
      <c r="K4" s="21" t="n">
        <v>6</v>
      </c>
      <c r="L4" s="21" t="n">
        <v>0</v>
      </c>
      <c r="M4" s="22" t="n">
        <f aca="false">SUM(I4:L4)</f>
        <v>50</v>
      </c>
      <c r="N4" s="19" t="s">
        <v>94</v>
      </c>
      <c r="O4" s="19" t="s">
        <v>95</v>
      </c>
    </row>
    <row r="5" customFormat="false" ht="35.05" hidden="false" customHeight="false" outlineLevel="0" collapsed="false">
      <c r="A5" s="18" t="s">
        <v>20</v>
      </c>
      <c r="B5" s="19" t="s">
        <v>21</v>
      </c>
      <c r="C5" s="18" t="s">
        <v>96</v>
      </c>
      <c r="D5" s="19" t="s">
        <v>97</v>
      </c>
      <c r="E5" s="19" t="s">
        <v>98</v>
      </c>
      <c r="F5" s="20" t="s">
        <v>51</v>
      </c>
      <c r="G5" s="18" t="str">
        <f aca="false">IF(F5="Must","R1 – MVP",IF(F5="Should","R2","R3"))</f>
        <v>R1 – MVP</v>
      </c>
      <c r="H5" s="19" t="s">
        <v>83</v>
      </c>
      <c r="I5" s="21" t="n">
        <v>0</v>
      </c>
      <c r="J5" s="21" t="n">
        <v>24</v>
      </c>
      <c r="K5" s="21" t="n">
        <v>8</v>
      </c>
      <c r="L5" s="21" t="n">
        <v>8</v>
      </c>
      <c r="M5" s="22" t="n">
        <f aca="false">SUM(I5:L5)</f>
        <v>40</v>
      </c>
      <c r="N5" s="19" t="s">
        <v>99</v>
      </c>
      <c r="O5" s="19" t="s">
        <v>95</v>
      </c>
    </row>
    <row r="6" customFormat="false" ht="46.25" hidden="false" customHeight="false" outlineLevel="0" collapsed="false">
      <c r="A6" s="18" t="s">
        <v>20</v>
      </c>
      <c r="B6" s="19" t="s">
        <v>21</v>
      </c>
      <c r="C6" s="18" t="s">
        <v>100</v>
      </c>
      <c r="D6" s="19" t="s">
        <v>101</v>
      </c>
      <c r="E6" s="19" t="s">
        <v>102</v>
      </c>
      <c r="F6" s="20" t="s">
        <v>51</v>
      </c>
      <c r="G6" s="18" t="str">
        <f aca="false">IF(F6="Must","R1 – MVP",IF(F6="Should","R2","R3"))</f>
        <v>R1 – MVP</v>
      </c>
      <c r="H6" s="19" t="s">
        <v>88</v>
      </c>
      <c r="I6" s="21" t="n">
        <v>0</v>
      </c>
      <c r="J6" s="21" t="n">
        <v>20</v>
      </c>
      <c r="K6" s="21" t="n">
        <v>6</v>
      </c>
      <c r="L6" s="21" t="n">
        <v>0</v>
      </c>
      <c r="M6" s="22" t="n">
        <f aca="false">SUM(I6:L6)</f>
        <v>26</v>
      </c>
      <c r="N6" s="19" t="s">
        <v>103</v>
      </c>
      <c r="O6" s="19" t="s">
        <v>104</v>
      </c>
    </row>
    <row r="7" customFormat="false" ht="35.05" hidden="false" customHeight="false" outlineLevel="0" collapsed="false">
      <c r="A7" s="18" t="s">
        <v>22</v>
      </c>
      <c r="B7" s="19" t="s">
        <v>23</v>
      </c>
      <c r="C7" s="18" t="s">
        <v>105</v>
      </c>
      <c r="D7" s="19" t="s">
        <v>106</v>
      </c>
      <c r="E7" s="19" t="s">
        <v>107</v>
      </c>
      <c r="F7" s="20" t="s">
        <v>51</v>
      </c>
      <c r="G7" s="18" t="str">
        <f aca="false">IF(F7="Must","R1 – MVP",IF(F7="Should","R2","R3"))</f>
        <v>R1 – MVP</v>
      </c>
      <c r="H7" s="19" t="s">
        <v>108</v>
      </c>
      <c r="I7" s="21" t="n">
        <v>12</v>
      </c>
      <c r="J7" s="21" t="n">
        <v>20</v>
      </c>
      <c r="K7" s="21" t="n">
        <v>8</v>
      </c>
      <c r="L7" s="21" t="n">
        <v>0</v>
      </c>
      <c r="M7" s="22" t="n">
        <f aca="false">SUM(I7:L7)</f>
        <v>40</v>
      </c>
      <c r="N7" s="19" t="s">
        <v>109</v>
      </c>
      <c r="O7" s="19" t="s">
        <v>104</v>
      </c>
    </row>
    <row r="8" customFormat="false" ht="35.05" hidden="false" customHeight="false" outlineLevel="0" collapsed="false">
      <c r="A8" s="18" t="s">
        <v>22</v>
      </c>
      <c r="B8" s="19" t="s">
        <v>23</v>
      </c>
      <c r="C8" s="18" t="s">
        <v>110</v>
      </c>
      <c r="D8" s="19" t="s">
        <v>111</v>
      </c>
      <c r="E8" s="19" t="s">
        <v>112</v>
      </c>
      <c r="F8" s="20" t="s">
        <v>51</v>
      </c>
      <c r="G8" s="18" t="str">
        <f aca="false">IF(F8="Must","R1 – MVP",IF(F8="Should","R2","R3"))</f>
        <v>R1 – MVP</v>
      </c>
      <c r="H8" s="19" t="s">
        <v>108</v>
      </c>
      <c r="I8" s="21" t="n">
        <v>12</v>
      </c>
      <c r="J8" s="21" t="n">
        <v>24</v>
      </c>
      <c r="K8" s="21" t="n">
        <v>10</v>
      </c>
      <c r="L8" s="21" t="n">
        <v>0</v>
      </c>
      <c r="M8" s="22" t="n">
        <f aca="false">SUM(I8:L8)</f>
        <v>46</v>
      </c>
      <c r="N8" s="19" t="s">
        <v>113</v>
      </c>
      <c r="O8" s="19" t="s">
        <v>114</v>
      </c>
    </row>
    <row r="9" customFormat="false" ht="46.25" hidden="false" customHeight="false" outlineLevel="0" collapsed="false">
      <c r="A9" s="18" t="s">
        <v>22</v>
      </c>
      <c r="B9" s="19" t="s">
        <v>23</v>
      </c>
      <c r="C9" s="18" t="s">
        <v>115</v>
      </c>
      <c r="D9" s="19" t="s">
        <v>116</v>
      </c>
      <c r="E9" s="19" t="s">
        <v>117</v>
      </c>
      <c r="F9" s="20" t="s">
        <v>51</v>
      </c>
      <c r="G9" s="18" t="str">
        <f aca="false">IF(F9="Must","R1 – MVP",IF(F9="Should","R2","R3"))</f>
        <v>R1 – MVP</v>
      </c>
      <c r="H9" s="19" t="s">
        <v>108</v>
      </c>
      <c r="I9" s="21" t="n">
        <v>12</v>
      </c>
      <c r="J9" s="21" t="n">
        <v>8</v>
      </c>
      <c r="K9" s="21" t="n">
        <v>6</v>
      </c>
      <c r="L9" s="21" t="n">
        <v>0</v>
      </c>
      <c r="M9" s="22" t="n">
        <f aca="false">SUM(I9:L9)</f>
        <v>26</v>
      </c>
      <c r="N9" s="19" t="s">
        <v>118</v>
      </c>
      <c r="O9" s="19" t="s">
        <v>119</v>
      </c>
    </row>
    <row r="10" customFormat="false" ht="35.05" hidden="false" customHeight="false" outlineLevel="0" collapsed="false">
      <c r="A10" s="18" t="s">
        <v>22</v>
      </c>
      <c r="B10" s="19" t="s">
        <v>23</v>
      </c>
      <c r="C10" s="18" t="s">
        <v>120</v>
      </c>
      <c r="D10" s="19" t="s">
        <v>121</v>
      </c>
      <c r="E10" s="19" t="s">
        <v>122</v>
      </c>
      <c r="F10" s="20" t="s">
        <v>51</v>
      </c>
      <c r="G10" s="18" t="str">
        <f aca="false">IF(F10="Must","R1 – MVP",IF(F10="Should","R2","R3"))</f>
        <v>R1 – MVP</v>
      </c>
      <c r="H10" s="19" t="s">
        <v>108</v>
      </c>
      <c r="I10" s="21" t="n">
        <v>8</v>
      </c>
      <c r="J10" s="21" t="n">
        <v>8</v>
      </c>
      <c r="K10" s="21" t="n">
        <v>5</v>
      </c>
      <c r="L10" s="21" t="n">
        <v>0</v>
      </c>
      <c r="M10" s="22" t="n">
        <f aca="false">SUM(I10:L10)</f>
        <v>21</v>
      </c>
      <c r="N10" s="19" t="s">
        <v>123</v>
      </c>
      <c r="O10" s="19" t="s">
        <v>124</v>
      </c>
    </row>
    <row r="11" customFormat="false" ht="35.05" hidden="false" customHeight="false" outlineLevel="0" collapsed="false">
      <c r="A11" s="18" t="s">
        <v>22</v>
      </c>
      <c r="B11" s="19" t="s">
        <v>23</v>
      </c>
      <c r="C11" s="18" t="s">
        <v>125</v>
      </c>
      <c r="D11" s="19" t="s">
        <v>126</v>
      </c>
      <c r="E11" s="19" t="s">
        <v>127</v>
      </c>
      <c r="F11" s="20" t="s">
        <v>51</v>
      </c>
      <c r="G11" s="18" t="str">
        <f aca="false">IF(F11="Must","R1 – MVP",IF(F11="Should","R2","R3"))</f>
        <v>R1 – MVP</v>
      </c>
      <c r="H11" s="19" t="s">
        <v>108</v>
      </c>
      <c r="I11" s="21" t="n">
        <v>6</v>
      </c>
      <c r="J11" s="21" t="n">
        <v>6</v>
      </c>
      <c r="K11" s="21" t="n">
        <v>4</v>
      </c>
      <c r="L11" s="21" t="n">
        <v>0</v>
      </c>
      <c r="M11" s="22" t="n">
        <f aca="false">SUM(I11:L11)</f>
        <v>16</v>
      </c>
      <c r="N11" s="19" t="s">
        <v>128</v>
      </c>
      <c r="O11" s="19" t="s">
        <v>124</v>
      </c>
    </row>
    <row r="12" customFormat="false" ht="35.05" hidden="false" customHeight="false" outlineLevel="0" collapsed="false">
      <c r="A12" s="18" t="s">
        <v>22</v>
      </c>
      <c r="B12" s="19" t="s">
        <v>23</v>
      </c>
      <c r="C12" s="18" t="s">
        <v>129</v>
      </c>
      <c r="D12" s="19" t="s">
        <v>130</v>
      </c>
      <c r="E12" s="19" t="s">
        <v>131</v>
      </c>
      <c r="F12" s="20" t="s">
        <v>51</v>
      </c>
      <c r="G12" s="18" t="str">
        <f aca="false">IF(F12="Must","R1 – MVP",IF(F12="Should","R2","R3"))</f>
        <v>R1 – MVP</v>
      </c>
      <c r="H12" s="19" t="s">
        <v>108</v>
      </c>
      <c r="I12" s="21" t="n">
        <v>4</v>
      </c>
      <c r="J12" s="21" t="n">
        <v>2</v>
      </c>
      <c r="K12" s="21" t="n">
        <v>2</v>
      </c>
      <c r="L12" s="21" t="n">
        <v>0</v>
      </c>
      <c r="M12" s="22" t="n">
        <f aca="false">SUM(I12:L12)</f>
        <v>8</v>
      </c>
      <c r="N12" s="19" t="s">
        <v>132</v>
      </c>
      <c r="O12" s="19" t="s">
        <v>124</v>
      </c>
    </row>
    <row r="13" customFormat="false" ht="57.45" hidden="false" customHeight="false" outlineLevel="0" collapsed="false">
      <c r="A13" s="18" t="s">
        <v>22</v>
      </c>
      <c r="B13" s="19" t="s">
        <v>23</v>
      </c>
      <c r="C13" s="18" t="s">
        <v>133</v>
      </c>
      <c r="D13" s="19" t="s">
        <v>134</v>
      </c>
      <c r="E13" s="19" t="s">
        <v>135</v>
      </c>
      <c r="F13" s="20" t="s">
        <v>51</v>
      </c>
      <c r="G13" s="18" t="str">
        <f aca="false">IF(F13="Must","R1 – MVP",IF(F13="Should","R2","R3"))</f>
        <v>R1 – MVP</v>
      </c>
      <c r="H13" s="19" t="s">
        <v>108</v>
      </c>
      <c r="I13" s="21" t="n">
        <v>6</v>
      </c>
      <c r="J13" s="21" t="n">
        <v>8</v>
      </c>
      <c r="K13" s="21" t="n">
        <v>5</v>
      </c>
      <c r="L13" s="21" t="n">
        <v>0</v>
      </c>
      <c r="M13" s="22" t="n">
        <f aca="false">SUM(I13:L13)</f>
        <v>19</v>
      </c>
      <c r="N13" s="19" t="s">
        <v>136</v>
      </c>
      <c r="O13" s="19" t="s">
        <v>124</v>
      </c>
    </row>
    <row r="14" customFormat="false" ht="23.85" hidden="false" customHeight="false" outlineLevel="0" collapsed="false">
      <c r="A14" s="18" t="s">
        <v>22</v>
      </c>
      <c r="B14" s="19" t="s">
        <v>23</v>
      </c>
      <c r="C14" s="18" t="s">
        <v>137</v>
      </c>
      <c r="D14" s="19" t="s">
        <v>138</v>
      </c>
      <c r="E14" s="19" t="s">
        <v>139</v>
      </c>
      <c r="F14" s="20" t="s">
        <v>51</v>
      </c>
      <c r="G14" s="18" t="str">
        <f aca="false">IF(F14="Must","R1 – MVP",IF(F14="Should","R2","R3"))</f>
        <v>R1 – MVP</v>
      </c>
      <c r="H14" s="19" t="s">
        <v>108</v>
      </c>
      <c r="I14" s="21" t="n">
        <v>2</v>
      </c>
      <c r="J14" s="21" t="n">
        <v>6</v>
      </c>
      <c r="K14" s="21" t="n">
        <v>3</v>
      </c>
      <c r="L14" s="21" t="n">
        <v>0</v>
      </c>
      <c r="M14" s="22" t="n">
        <f aca="false">SUM(I14:L14)</f>
        <v>11</v>
      </c>
      <c r="N14" s="19" t="s">
        <v>140</v>
      </c>
      <c r="O14" s="19" t="s">
        <v>124</v>
      </c>
    </row>
    <row r="15" customFormat="false" ht="46.25" hidden="false" customHeight="false" outlineLevel="0" collapsed="false">
      <c r="A15" s="18" t="s">
        <v>22</v>
      </c>
      <c r="B15" s="19" t="s">
        <v>23</v>
      </c>
      <c r="C15" s="18" t="s">
        <v>141</v>
      </c>
      <c r="D15" s="19" t="s">
        <v>142</v>
      </c>
      <c r="E15" s="19" t="s">
        <v>143</v>
      </c>
      <c r="F15" s="20" t="s">
        <v>51</v>
      </c>
      <c r="G15" s="18" t="str">
        <f aca="false">IF(F15="Must","R1 – MVP",IF(F15="Should","R2","R3"))</f>
        <v>R1 – MVP</v>
      </c>
      <c r="H15" s="19" t="s">
        <v>108</v>
      </c>
      <c r="I15" s="21" t="n">
        <v>4</v>
      </c>
      <c r="J15" s="21" t="n">
        <v>4</v>
      </c>
      <c r="K15" s="21" t="n">
        <v>3</v>
      </c>
      <c r="L15" s="21" t="n">
        <v>0</v>
      </c>
      <c r="M15" s="22" t="n">
        <f aca="false">SUM(I15:L15)</f>
        <v>11</v>
      </c>
      <c r="N15" s="19" t="s">
        <v>144</v>
      </c>
      <c r="O15" s="19" t="s">
        <v>124</v>
      </c>
    </row>
    <row r="16" customFormat="false" ht="35.05" hidden="false" customHeight="false" outlineLevel="0" collapsed="false">
      <c r="A16" s="18" t="s">
        <v>22</v>
      </c>
      <c r="B16" s="19" t="s">
        <v>23</v>
      </c>
      <c r="C16" s="18" t="s">
        <v>145</v>
      </c>
      <c r="D16" s="19" t="s">
        <v>146</v>
      </c>
      <c r="E16" s="19" t="s">
        <v>147</v>
      </c>
      <c r="F16" s="20" t="s">
        <v>51</v>
      </c>
      <c r="G16" s="18" t="str">
        <f aca="false">IF(F16="Must","R1 – MVP",IF(F16="Should","R2","R3"))</f>
        <v>R1 – MVP</v>
      </c>
      <c r="H16" s="19" t="s">
        <v>108</v>
      </c>
      <c r="I16" s="21" t="n">
        <v>24</v>
      </c>
      <c r="J16" s="21" t="n">
        <v>24</v>
      </c>
      <c r="K16" s="21" t="n">
        <v>12</v>
      </c>
      <c r="L16" s="21" t="n">
        <v>0</v>
      </c>
      <c r="M16" s="22" t="n">
        <f aca="false">SUM(I16:L16)</f>
        <v>60</v>
      </c>
      <c r="N16" s="19" t="s">
        <v>148</v>
      </c>
      <c r="O16" s="19" t="s">
        <v>149</v>
      </c>
    </row>
    <row r="17" customFormat="false" ht="35.05" hidden="false" customHeight="false" outlineLevel="0" collapsed="false">
      <c r="A17" s="18" t="s">
        <v>22</v>
      </c>
      <c r="B17" s="19" t="s">
        <v>23</v>
      </c>
      <c r="C17" s="18" t="s">
        <v>150</v>
      </c>
      <c r="D17" s="19" t="s">
        <v>151</v>
      </c>
      <c r="E17" s="19" t="s">
        <v>152</v>
      </c>
      <c r="F17" s="23" t="s">
        <v>55</v>
      </c>
      <c r="G17" s="18" t="str">
        <f aca="false">IF(F17="Must","R1 – MVP",IF(F17="Should","R2","R3"))</f>
        <v>R3</v>
      </c>
      <c r="H17" s="19" t="s">
        <v>108</v>
      </c>
      <c r="I17" s="21" t="n">
        <v>8</v>
      </c>
      <c r="J17" s="21" t="n">
        <v>8</v>
      </c>
      <c r="K17" s="21" t="n">
        <v>4</v>
      </c>
      <c r="L17" s="21" t="n">
        <v>0</v>
      </c>
      <c r="M17" s="22" t="n">
        <f aca="false">SUM(I17:L17)</f>
        <v>20</v>
      </c>
      <c r="N17" s="19" t="s">
        <v>153</v>
      </c>
      <c r="O17" s="19" t="s">
        <v>154</v>
      </c>
    </row>
    <row r="18" customFormat="false" ht="35.05" hidden="false" customHeight="false" outlineLevel="0" collapsed="false">
      <c r="A18" s="18" t="s">
        <v>22</v>
      </c>
      <c r="B18" s="19" t="s">
        <v>23</v>
      </c>
      <c r="C18" s="18" t="s">
        <v>155</v>
      </c>
      <c r="D18" s="19" t="s">
        <v>156</v>
      </c>
      <c r="E18" s="19" t="s">
        <v>157</v>
      </c>
      <c r="F18" s="24" t="s">
        <v>53</v>
      </c>
      <c r="G18" s="18" t="str">
        <f aca="false">IF(F18="Must","R1 – MVP",IF(F18="Should","R2","R3"))</f>
        <v>R2</v>
      </c>
      <c r="H18" s="19" t="s">
        <v>108</v>
      </c>
      <c r="I18" s="21" t="n">
        <v>2</v>
      </c>
      <c r="J18" s="21" t="n">
        <v>6</v>
      </c>
      <c r="K18" s="21" t="n">
        <v>3</v>
      </c>
      <c r="L18" s="21" t="n">
        <v>0</v>
      </c>
      <c r="M18" s="22" t="n">
        <f aca="false">SUM(I18:L18)</f>
        <v>11</v>
      </c>
      <c r="N18" s="19" t="s">
        <v>158</v>
      </c>
      <c r="O18" s="19" t="s">
        <v>159</v>
      </c>
    </row>
    <row r="19" customFormat="false" ht="35.05" hidden="false" customHeight="false" outlineLevel="0" collapsed="false">
      <c r="A19" s="18" t="s">
        <v>22</v>
      </c>
      <c r="B19" s="19" t="s">
        <v>23</v>
      </c>
      <c r="C19" s="18" t="s">
        <v>160</v>
      </c>
      <c r="D19" s="19" t="s">
        <v>161</v>
      </c>
      <c r="E19" s="19" t="s">
        <v>162</v>
      </c>
      <c r="F19" s="20" t="s">
        <v>51</v>
      </c>
      <c r="G19" s="18" t="str">
        <f aca="false">IF(F19="Must","R1 – MVP",IF(F19="Should","R2","R3"))</f>
        <v>R1 – MVP</v>
      </c>
      <c r="H19" s="19" t="s">
        <v>108</v>
      </c>
      <c r="I19" s="21" t="n">
        <v>20</v>
      </c>
      <c r="J19" s="21" t="n">
        <v>20</v>
      </c>
      <c r="K19" s="21" t="n">
        <v>10</v>
      </c>
      <c r="L19" s="21" t="n">
        <v>0</v>
      </c>
      <c r="M19" s="22" t="n">
        <f aca="false">SUM(I19:L19)</f>
        <v>50</v>
      </c>
      <c r="N19" s="19" t="s">
        <v>163</v>
      </c>
      <c r="O19" s="19" t="s">
        <v>149</v>
      </c>
    </row>
    <row r="20" customFormat="false" ht="46.25" hidden="false" customHeight="false" outlineLevel="0" collapsed="false">
      <c r="A20" s="18" t="s">
        <v>24</v>
      </c>
      <c r="B20" s="19" t="s">
        <v>25</v>
      </c>
      <c r="C20" s="18" t="s">
        <v>164</v>
      </c>
      <c r="D20" s="19" t="s">
        <v>165</v>
      </c>
      <c r="E20" s="19" t="s">
        <v>166</v>
      </c>
      <c r="F20" s="20" t="s">
        <v>51</v>
      </c>
      <c r="G20" s="18" t="str">
        <f aca="false">IF(F20="Must","R1 – MVP",IF(F20="Should","R2","R3"))</f>
        <v>R1 – MVP</v>
      </c>
      <c r="H20" s="19" t="s">
        <v>93</v>
      </c>
      <c r="I20" s="21" t="n">
        <v>16</v>
      </c>
      <c r="J20" s="21" t="n">
        <v>0</v>
      </c>
      <c r="K20" s="21" t="n">
        <v>4</v>
      </c>
      <c r="L20" s="21" t="n">
        <v>0</v>
      </c>
      <c r="M20" s="22" t="n">
        <f aca="false">SUM(I20:L20)</f>
        <v>20</v>
      </c>
      <c r="N20" s="19" t="s">
        <v>167</v>
      </c>
      <c r="O20" s="19" t="s">
        <v>119</v>
      </c>
    </row>
    <row r="21" customFormat="false" ht="35.05" hidden="false" customHeight="false" outlineLevel="0" collapsed="false">
      <c r="A21" s="18" t="s">
        <v>24</v>
      </c>
      <c r="B21" s="19" t="s">
        <v>25</v>
      </c>
      <c r="C21" s="18" t="s">
        <v>168</v>
      </c>
      <c r="D21" s="19" t="s">
        <v>169</v>
      </c>
      <c r="E21" s="19" t="s">
        <v>170</v>
      </c>
      <c r="F21" s="20" t="s">
        <v>51</v>
      </c>
      <c r="G21" s="18" t="str">
        <f aca="false">IF(F21="Must","R1 – MVP",IF(F21="Should","R2","R3"))</f>
        <v>R1 – MVP</v>
      </c>
      <c r="H21" s="19" t="s">
        <v>108</v>
      </c>
      <c r="I21" s="21" t="n">
        <v>10</v>
      </c>
      <c r="J21" s="21" t="n">
        <v>2</v>
      </c>
      <c r="K21" s="21" t="n">
        <v>4</v>
      </c>
      <c r="L21" s="21" t="n">
        <v>0</v>
      </c>
      <c r="M21" s="22" t="n">
        <f aca="false">SUM(I21:L21)</f>
        <v>16</v>
      </c>
      <c r="N21" s="19" t="s">
        <v>171</v>
      </c>
      <c r="O21" s="19" t="s">
        <v>119</v>
      </c>
    </row>
    <row r="22" customFormat="false" ht="35.05" hidden="false" customHeight="false" outlineLevel="0" collapsed="false">
      <c r="A22" s="18" t="s">
        <v>24</v>
      </c>
      <c r="B22" s="19" t="s">
        <v>25</v>
      </c>
      <c r="C22" s="18" t="s">
        <v>172</v>
      </c>
      <c r="D22" s="19" t="s">
        <v>173</v>
      </c>
      <c r="E22" s="19" t="s">
        <v>174</v>
      </c>
      <c r="F22" s="20" t="s">
        <v>51</v>
      </c>
      <c r="G22" s="18" t="str">
        <f aca="false">IF(F22="Must","R1 – MVP",IF(F22="Should","R2","R3"))</f>
        <v>R1 – MVP</v>
      </c>
      <c r="H22" s="19" t="s">
        <v>93</v>
      </c>
      <c r="I22" s="21" t="n">
        <v>4</v>
      </c>
      <c r="J22" s="21" t="n">
        <v>0</v>
      </c>
      <c r="K22" s="21" t="n">
        <v>2</v>
      </c>
      <c r="L22" s="21" t="n">
        <v>0</v>
      </c>
      <c r="M22" s="22" t="n">
        <f aca="false">SUM(I22:L22)</f>
        <v>6</v>
      </c>
      <c r="N22" s="19" t="s">
        <v>175</v>
      </c>
      <c r="O22" s="19" t="s">
        <v>119</v>
      </c>
    </row>
    <row r="23" customFormat="false" ht="35.05" hidden="false" customHeight="false" outlineLevel="0" collapsed="false">
      <c r="A23" s="18" t="s">
        <v>24</v>
      </c>
      <c r="B23" s="19" t="s">
        <v>25</v>
      </c>
      <c r="C23" s="18" t="s">
        <v>176</v>
      </c>
      <c r="D23" s="19" t="s">
        <v>177</v>
      </c>
      <c r="E23" s="19" t="s">
        <v>178</v>
      </c>
      <c r="F23" s="20" t="s">
        <v>51</v>
      </c>
      <c r="G23" s="18" t="str">
        <f aca="false">IF(F23="Must","R1 – MVP",IF(F23="Should","R2","R3"))</f>
        <v>R1 – MVP</v>
      </c>
      <c r="H23" s="19" t="s">
        <v>93</v>
      </c>
      <c r="I23" s="21" t="n">
        <v>8</v>
      </c>
      <c r="J23" s="21" t="n">
        <v>0</v>
      </c>
      <c r="K23" s="21" t="n">
        <v>3</v>
      </c>
      <c r="L23" s="21" t="n">
        <v>0</v>
      </c>
      <c r="M23" s="22" t="n">
        <f aca="false">SUM(I23:L23)</f>
        <v>11</v>
      </c>
      <c r="N23" s="19" t="s">
        <v>179</v>
      </c>
      <c r="O23" s="19" t="s">
        <v>119</v>
      </c>
    </row>
    <row r="24" customFormat="false" ht="35.05" hidden="false" customHeight="false" outlineLevel="0" collapsed="false">
      <c r="A24" s="18" t="s">
        <v>24</v>
      </c>
      <c r="B24" s="19" t="s">
        <v>25</v>
      </c>
      <c r="C24" s="18" t="s">
        <v>180</v>
      </c>
      <c r="D24" s="19" t="s">
        <v>181</v>
      </c>
      <c r="E24" s="19" t="s">
        <v>182</v>
      </c>
      <c r="F24" s="24" t="s">
        <v>53</v>
      </c>
      <c r="G24" s="18" t="str">
        <f aca="false">IF(F24="Must","R1 – MVP",IF(F24="Should","R2","R3"))</f>
        <v>R2</v>
      </c>
      <c r="H24" s="19" t="s">
        <v>108</v>
      </c>
      <c r="I24" s="21" t="n">
        <v>20</v>
      </c>
      <c r="J24" s="21" t="n">
        <v>24</v>
      </c>
      <c r="K24" s="21" t="n">
        <v>8</v>
      </c>
      <c r="L24" s="21" t="n">
        <v>0</v>
      </c>
      <c r="M24" s="22" t="n">
        <f aca="false">SUM(I24:L24)</f>
        <v>52</v>
      </c>
      <c r="N24" s="19" t="s">
        <v>183</v>
      </c>
      <c r="O24" s="19" t="s">
        <v>184</v>
      </c>
    </row>
    <row r="25" customFormat="false" ht="35.05" hidden="false" customHeight="false" outlineLevel="0" collapsed="false">
      <c r="A25" s="18" t="s">
        <v>26</v>
      </c>
      <c r="B25" s="19" t="s">
        <v>27</v>
      </c>
      <c r="C25" s="18" t="s">
        <v>185</v>
      </c>
      <c r="D25" s="19" t="s">
        <v>186</v>
      </c>
      <c r="E25" s="19" t="s">
        <v>187</v>
      </c>
      <c r="F25" s="20" t="s">
        <v>51</v>
      </c>
      <c r="G25" s="18" t="str">
        <f aca="false">IF(F25="Must","R1 – MVP",IF(F25="Should","R2","R3"))</f>
        <v>R1 – MVP</v>
      </c>
      <c r="H25" s="19" t="s">
        <v>108</v>
      </c>
      <c r="I25" s="21" t="n">
        <v>20</v>
      </c>
      <c r="J25" s="21" t="n">
        <v>16</v>
      </c>
      <c r="K25" s="21" t="n">
        <v>8</v>
      </c>
      <c r="L25" s="21" t="n">
        <v>0</v>
      </c>
      <c r="M25" s="22" t="n">
        <f aca="false">SUM(I25:L25)</f>
        <v>44</v>
      </c>
      <c r="N25" s="19" t="s">
        <v>188</v>
      </c>
      <c r="O25" s="19" t="s">
        <v>119</v>
      </c>
    </row>
    <row r="26" customFormat="false" ht="35.05" hidden="false" customHeight="false" outlineLevel="0" collapsed="false">
      <c r="A26" s="18" t="s">
        <v>26</v>
      </c>
      <c r="B26" s="19" t="s">
        <v>27</v>
      </c>
      <c r="C26" s="18" t="s">
        <v>189</v>
      </c>
      <c r="D26" s="19" t="s">
        <v>190</v>
      </c>
      <c r="E26" s="19" t="s">
        <v>191</v>
      </c>
      <c r="F26" s="20" t="s">
        <v>51</v>
      </c>
      <c r="G26" s="18" t="str">
        <f aca="false">IF(F26="Must","R1 – MVP",IF(F26="Should","R2","R3"))</f>
        <v>R1 – MVP</v>
      </c>
      <c r="H26" s="19" t="s">
        <v>108</v>
      </c>
      <c r="I26" s="21" t="n">
        <v>12</v>
      </c>
      <c r="J26" s="21" t="n">
        <v>8</v>
      </c>
      <c r="K26" s="21" t="n">
        <v>5</v>
      </c>
      <c r="L26" s="21" t="n">
        <v>0</v>
      </c>
      <c r="M26" s="22" t="n">
        <f aca="false">SUM(I26:L26)</f>
        <v>25</v>
      </c>
      <c r="N26" s="19" t="s">
        <v>188</v>
      </c>
      <c r="O26" s="19" t="s">
        <v>119</v>
      </c>
    </row>
    <row r="27" customFormat="false" ht="23.85" hidden="false" customHeight="false" outlineLevel="0" collapsed="false">
      <c r="A27" s="18" t="s">
        <v>26</v>
      </c>
      <c r="B27" s="19" t="s">
        <v>27</v>
      </c>
      <c r="C27" s="18" t="s">
        <v>192</v>
      </c>
      <c r="D27" s="19" t="s">
        <v>193</v>
      </c>
      <c r="E27" s="19" t="s">
        <v>194</v>
      </c>
      <c r="F27" s="20" t="s">
        <v>51</v>
      </c>
      <c r="G27" s="18" t="str">
        <f aca="false">IF(F27="Must","R1 – MVP",IF(F27="Should","R2","R3"))</f>
        <v>R1 – MVP</v>
      </c>
      <c r="H27" s="19" t="s">
        <v>108</v>
      </c>
      <c r="I27" s="21" t="n">
        <v>12</v>
      </c>
      <c r="J27" s="21" t="n">
        <v>10</v>
      </c>
      <c r="K27" s="21" t="n">
        <v>5</v>
      </c>
      <c r="L27" s="21" t="n">
        <v>0</v>
      </c>
      <c r="M27" s="22" t="n">
        <f aca="false">SUM(I27:L27)</f>
        <v>27</v>
      </c>
      <c r="N27" s="19" t="s">
        <v>195</v>
      </c>
      <c r="O27" s="19" t="s">
        <v>119</v>
      </c>
    </row>
    <row r="28" customFormat="false" ht="35.05" hidden="false" customHeight="false" outlineLevel="0" collapsed="false">
      <c r="A28" s="18" t="s">
        <v>26</v>
      </c>
      <c r="B28" s="19" t="s">
        <v>27</v>
      </c>
      <c r="C28" s="18" t="s">
        <v>196</v>
      </c>
      <c r="D28" s="19" t="s">
        <v>197</v>
      </c>
      <c r="E28" s="19" t="s">
        <v>198</v>
      </c>
      <c r="F28" s="20" t="s">
        <v>51</v>
      </c>
      <c r="G28" s="18" t="str">
        <f aca="false">IF(F28="Must","R1 – MVP",IF(F28="Should","R2","R3"))</f>
        <v>R1 – MVP</v>
      </c>
      <c r="H28" s="19" t="s">
        <v>108</v>
      </c>
      <c r="I28" s="21" t="n">
        <v>8</v>
      </c>
      <c r="J28" s="21" t="n">
        <v>8</v>
      </c>
      <c r="K28" s="21" t="n">
        <v>4</v>
      </c>
      <c r="L28" s="21" t="n">
        <v>0</v>
      </c>
      <c r="M28" s="22" t="n">
        <f aca="false">SUM(I28:L28)</f>
        <v>20</v>
      </c>
      <c r="N28" s="19" t="s">
        <v>199</v>
      </c>
      <c r="O28" s="19" t="s">
        <v>119</v>
      </c>
    </row>
    <row r="29" customFormat="false" ht="35.05" hidden="false" customHeight="false" outlineLevel="0" collapsed="false">
      <c r="A29" s="18" t="s">
        <v>28</v>
      </c>
      <c r="B29" s="19" t="s">
        <v>29</v>
      </c>
      <c r="C29" s="18" t="s">
        <v>200</v>
      </c>
      <c r="D29" s="19" t="s">
        <v>201</v>
      </c>
      <c r="E29" s="19" t="s">
        <v>202</v>
      </c>
      <c r="F29" s="20" t="s">
        <v>51</v>
      </c>
      <c r="G29" s="18" t="str">
        <f aca="false">IF(F29="Must","R1 – MVP",IF(F29="Should","R2","R3"))</f>
        <v>R1 – MVP</v>
      </c>
      <c r="H29" s="19" t="s">
        <v>108</v>
      </c>
      <c r="I29" s="21" t="n">
        <v>14</v>
      </c>
      <c r="J29" s="21" t="n">
        <v>10</v>
      </c>
      <c r="K29" s="21" t="n">
        <v>6</v>
      </c>
      <c r="L29" s="21" t="n">
        <v>0</v>
      </c>
      <c r="M29" s="22" t="n">
        <f aca="false">SUM(I29:L29)</f>
        <v>30</v>
      </c>
      <c r="N29" s="19" t="s">
        <v>203</v>
      </c>
      <c r="O29" s="19" t="s">
        <v>119</v>
      </c>
    </row>
    <row r="30" customFormat="false" ht="35.05" hidden="false" customHeight="false" outlineLevel="0" collapsed="false">
      <c r="A30" s="18" t="s">
        <v>28</v>
      </c>
      <c r="B30" s="19" t="s">
        <v>29</v>
      </c>
      <c r="C30" s="18" t="s">
        <v>204</v>
      </c>
      <c r="D30" s="19" t="s">
        <v>205</v>
      </c>
      <c r="E30" s="19" t="s">
        <v>206</v>
      </c>
      <c r="F30" s="20" t="s">
        <v>51</v>
      </c>
      <c r="G30" s="18" t="str">
        <f aca="false">IF(F30="Must","R1 – MVP",IF(F30="Should","R2","R3"))</f>
        <v>R1 – MVP</v>
      </c>
      <c r="H30" s="19" t="s">
        <v>108</v>
      </c>
      <c r="I30" s="21" t="n">
        <v>12</v>
      </c>
      <c r="J30" s="21" t="n">
        <v>8</v>
      </c>
      <c r="K30" s="21" t="n">
        <v>5</v>
      </c>
      <c r="L30" s="21" t="n">
        <v>0</v>
      </c>
      <c r="M30" s="22" t="n">
        <f aca="false">SUM(I30:L30)</f>
        <v>25</v>
      </c>
      <c r="N30" s="19" t="s">
        <v>203</v>
      </c>
      <c r="O30" s="19" t="s">
        <v>207</v>
      </c>
    </row>
    <row r="31" customFormat="false" ht="35.05" hidden="false" customHeight="false" outlineLevel="0" collapsed="false">
      <c r="A31" s="18" t="s">
        <v>28</v>
      </c>
      <c r="B31" s="19" t="s">
        <v>29</v>
      </c>
      <c r="C31" s="18" t="s">
        <v>208</v>
      </c>
      <c r="D31" s="19" t="s">
        <v>209</v>
      </c>
      <c r="E31" s="19" t="s">
        <v>210</v>
      </c>
      <c r="F31" s="20" t="s">
        <v>51</v>
      </c>
      <c r="G31" s="18" t="str">
        <f aca="false">IF(F31="Must","R1 – MVP",IF(F31="Should","R2","R3"))</f>
        <v>R1 – MVP</v>
      </c>
      <c r="H31" s="19" t="s">
        <v>108</v>
      </c>
      <c r="I31" s="21" t="n">
        <v>4</v>
      </c>
      <c r="J31" s="21" t="n">
        <v>8</v>
      </c>
      <c r="K31" s="21" t="n">
        <v>4</v>
      </c>
      <c r="L31" s="21" t="n">
        <v>0</v>
      </c>
      <c r="M31" s="22" t="n">
        <f aca="false">SUM(I31:L31)</f>
        <v>16</v>
      </c>
      <c r="N31" s="19" t="s">
        <v>211</v>
      </c>
      <c r="O31" s="19" t="s">
        <v>207</v>
      </c>
    </row>
    <row r="32" customFormat="false" ht="35.05" hidden="false" customHeight="false" outlineLevel="0" collapsed="false">
      <c r="A32" s="18" t="s">
        <v>30</v>
      </c>
      <c r="B32" s="19" t="s">
        <v>31</v>
      </c>
      <c r="C32" s="18" t="s">
        <v>212</v>
      </c>
      <c r="D32" s="19" t="s">
        <v>213</v>
      </c>
      <c r="E32" s="19" t="s">
        <v>214</v>
      </c>
      <c r="F32" s="20" t="s">
        <v>51</v>
      </c>
      <c r="G32" s="18" t="str">
        <f aca="false">IF(F32="Must","R1 – MVP",IF(F32="Should","R2","R3"))</f>
        <v>R1 – MVP</v>
      </c>
      <c r="H32" s="19" t="s">
        <v>93</v>
      </c>
      <c r="I32" s="21" t="n">
        <v>24</v>
      </c>
      <c r="J32" s="21" t="n">
        <v>0</v>
      </c>
      <c r="K32" s="21" t="n">
        <v>6</v>
      </c>
      <c r="L32" s="21" t="n">
        <v>0</v>
      </c>
      <c r="M32" s="22" t="n">
        <f aca="false">SUM(I32:L32)</f>
        <v>30</v>
      </c>
      <c r="N32" s="19" t="s">
        <v>215</v>
      </c>
      <c r="O32" s="19" t="s">
        <v>119</v>
      </c>
    </row>
    <row r="33" customFormat="false" ht="35.05" hidden="false" customHeight="false" outlineLevel="0" collapsed="false">
      <c r="A33" s="18" t="s">
        <v>30</v>
      </c>
      <c r="B33" s="19" t="s">
        <v>31</v>
      </c>
      <c r="C33" s="18" t="s">
        <v>216</v>
      </c>
      <c r="D33" s="19" t="s">
        <v>217</v>
      </c>
      <c r="E33" s="19" t="s">
        <v>218</v>
      </c>
      <c r="F33" s="20" t="s">
        <v>51</v>
      </c>
      <c r="G33" s="18" t="str">
        <f aca="false">IF(F33="Must","R1 – MVP",IF(F33="Should","R2","R3"))</f>
        <v>R1 – MVP</v>
      </c>
      <c r="H33" s="19" t="s">
        <v>108</v>
      </c>
      <c r="I33" s="21" t="n">
        <v>12</v>
      </c>
      <c r="J33" s="21" t="n">
        <v>6</v>
      </c>
      <c r="K33" s="21" t="n">
        <v>5</v>
      </c>
      <c r="L33" s="21" t="n">
        <v>0</v>
      </c>
      <c r="M33" s="22" t="n">
        <f aca="false">SUM(I33:L33)</f>
        <v>23</v>
      </c>
      <c r="N33" s="19" t="s">
        <v>219</v>
      </c>
      <c r="O33" s="19" t="s">
        <v>220</v>
      </c>
    </row>
    <row r="34" customFormat="false" ht="35.05" hidden="false" customHeight="false" outlineLevel="0" collapsed="false">
      <c r="A34" s="18" t="s">
        <v>30</v>
      </c>
      <c r="B34" s="19" t="s">
        <v>31</v>
      </c>
      <c r="C34" s="18" t="s">
        <v>221</v>
      </c>
      <c r="D34" s="19" t="s">
        <v>222</v>
      </c>
      <c r="E34" s="19" t="s">
        <v>223</v>
      </c>
      <c r="F34" s="20" t="s">
        <v>51</v>
      </c>
      <c r="G34" s="18" t="str">
        <f aca="false">IF(F34="Must","R1 – MVP",IF(F34="Should","R2","R3"))</f>
        <v>R1 – MVP</v>
      </c>
      <c r="H34" s="19" t="s">
        <v>108</v>
      </c>
      <c r="I34" s="21" t="n">
        <v>16</v>
      </c>
      <c r="J34" s="21" t="n">
        <v>10</v>
      </c>
      <c r="K34" s="21" t="n">
        <v>6</v>
      </c>
      <c r="L34" s="21" t="n">
        <v>0</v>
      </c>
      <c r="M34" s="22" t="n">
        <f aca="false">SUM(I34:L34)</f>
        <v>32</v>
      </c>
      <c r="N34" s="19" t="s">
        <v>224</v>
      </c>
      <c r="O34" s="19" t="s">
        <v>225</v>
      </c>
    </row>
    <row r="35" customFormat="false" ht="23.85" hidden="false" customHeight="false" outlineLevel="0" collapsed="false">
      <c r="A35" s="18" t="s">
        <v>30</v>
      </c>
      <c r="B35" s="19" t="s">
        <v>31</v>
      </c>
      <c r="C35" s="18" t="s">
        <v>226</v>
      </c>
      <c r="D35" s="19" t="s">
        <v>227</v>
      </c>
      <c r="E35" s="19" t="s">
        <v>228</v>
      </c>
      <c r="F35" s="20" t="s">
        <v>51</v>
      </c>
      <c r="G35" s="18" t="str">
        <f aca="false">IF(F35="Must","R1 – MVP",IF(F35="Should","R2","R3"))</f>
        <v>R1 – MVP</v>
      </c>
      <c r="H35" s="19" t="s">
        <v>88</v>
      </c>
      <c r="I35" s="21" t="n">
        <v>0</v>
      </c>
      <c r="J35" s="21" t="n">
        <v>6</v>
      </c>
      <c r="K35" s="21" t="n">
        <v>2</v>
      </c>
      <c r="L35" s="21" t="n">
        <v>0</v>
      </c>
      <c r="M35" s="22" t="n">
        <f aca="false">SUM(I35:L35)</f>
        <v>8</v>
      </c>
      <c r="N35" s="19" t="s">
        <v>229</v>
      </c>
      <c r="O35" s="19" t="s">
        <v>104</v>
      </c>
    </row>
    <row r="36" customFormat="false" ht="35.05" hidden="false" customHeight="false" outlineLevel="0" collapsed="false">
      <c r="A36" s="18" t="s">
        <v>30</v>
      </c>
      <c r="B36" s="19" t="s">
        <v>31</v>
      </c>
      <c r="C36" s="18" t="s">
        <v>230</v>
      </c>
      <c r="D36" s="19" t="s">
        <v>231</v>
      </c>
      <c r="E36" s="19" t="s">
        <v>232</v>
      </c>
      <c r="F36" s="24" t="s">
        <v>53</v>
      </c>
      <c r="G36" s="18" t="str">
        <f aca="false">IF(F36="Must","R1 – MVP",IF(F36="Should","R2","R3"))</f>
        <v>R2</v>
      </c>
      <c r="H36" s="19" t="s">
        <v>93</v>
      </c>
      <c r="I36" s="21" t="n">
        <v>16</v>
      </c>
      <c r="J36" s="21" t="n">
        <v>0</v>
      </c>
      <c r="K36" s="21" t="n">
        <v>4</v>
      </c>
      <c r="L36" s="21" t="n">
        <v>0</v>
      </c>
      <c r="M36" s="22" t="n">
        <f aca="false">SUM(I36:L36)</f>
        <v>20</v>
      </c>
      <c r="N36" s="19" t="s">
        <v>233</v>
      </c>
      <c r="O36" s="19" t="s">
        <v>234</v>
      </c>
    </row>
    <row r="37" customFormat="false" ht="35.05" hidden="false" customHeight="false" outlineLevel="0" collapsed="false">
      <c r="A37" s="18" t="s">
        <v>30</v>
      </c>
      <c r="B37" s="19" t="s">
        <v>31</v>
      </c>
      <c r="C37" s="18" t="s">
        <v>235</v>
      </c>
      <c r="D37" s="19" t="s">
        <v>236</v>
      </c>
      <c r="E37" s="19" t="s">
        <v>237</v>
      </c>
      <c r="F37" s="20" t="s">
        <v>51</v>
      </c>
      <c r="G37" s="18" t="str">
        <f aca="false">IF(F37="Must","R1 – MVP",IF(F37="Should","R2","R3"))</f>
        <v>R1 – MVP</v>
      </c>
      <c r="H37" s="19" t="s">
        <v>108</v>
      </c>
      <c r="I37" s="21" t="n">
        <v>20</v>
      </c>
      <c r="J37" s="21" t="n">
        <v>6</v>
      </c>
      <c r="K37" s="21" t="n">
        <v>6</v>
      </c>
      <c r="L37" s="21" t="n">
        <v>0</v>
      </c>
      <c r="M37" s="22" t="n">
        <f aca="false">SUM(I37:L37)</f>
        <v>32</v>
      </c>
      <c r="N37" s="19" t="s">
        <v>238</v>
      </c>
      <c r="O37" s="19" t="s">
        <v>239</v>
      </c>
    </row>
    <row r="38" customFormat="false" ht="23.85" hidden="false" customHeight="false" outlineLevel="0" collapsed="false">
      <c r="A38" s="18" t="s">
        <v>30</v>
      </c>
      <c r="B38" s="19" t="s">
        <v>31</v>
      </c>
      <c r="C38" s="18" t="s">
        <v>240</v>
      </c>
      <c r="D38" s="19" t="s">
        <v>241</v>
      </c>
      <c r="E38" s="19" t="s">
        <v>242</v>
      </c>
      <c r="F38" s="20" t="s">
        <v>51</v>
      </c>
      <c r="G38" s="18" t="str">
        <f aca="false">IF(F38="Must","R1 – MVP",IF(F38="Should","R2","R3"))</f>
        <v>R1 – MVP</v>
      </c>
      <c r="H38" s="19" t="s">
        <v>108</v>
      </c>
      <c r="I38" s="21" t="n">
        <v>8</v>
      </c>
      <c r="J38" s="21" t="n">
        <v>2</v>
      </c>
      <c r="K38" s="21" t="n">
        <v>3</v>
      </c>
      <c r="L38" s="21" t="n">
        <v>0</v>
      </c>
      <c r="M38" s="22" t="n">
        <f aca="false">SUM(I38:L38)</f>
        <v>13</v>
      </c>
      <c r="N38" s="19" t="s">
        <v>243</v>
      </c>
      <c r="O38" s="19" t="s">
        <v>207</v>
      </c>
    </row>
    <row r="39" customFormat="false" ht="35.05" hidden="false" customHeight="false" outlineLevel="0" collapsed="false">
      <c r="A39" s="18" t="s">
        <v>30</v>
      </c>
      <c r="B39" s="19" t="s">
        <v>31</v>
      </c>
      <c r="C39" s="18" t="s">
        <v>244</v>
      </c>
      <c r="D39" s="19" t="s">
        <v>245</v>
      </c>
      <c r="E39" s="19" t="s">
        <v>246</v>
      </c>
      <c r="F39" s="20" t="s">
        <v>51</v>
      </c>
      <c r="G39" s="18" t="str">
        <f aca="false">IF(F39="Must","R1 – MVP",IF(F39="Should","R2","R3"))</f>
        <v>R1 – MVP</v>
      </c>
      <c r="H39" s="19" t="s">
        <v>108</v>
      </c>
      <c r="I39" s="21" t="n">
        <v>20</v>
      </c>
      <c r="J39" s="21" t="n">
        <v>10</v>
      </c>
      <c r="K39" s="21" t="n">
        <v>8</v>
      </c>
      <c r="L39" s="21" t="n">
        <v>0</v>
      </c>
      <c r="M39" s="22" t="n">
        <f aca="false">SUM(I39:L39)</f>
        <v>38</v>
      </c>
      <c r="N39" s="19" t="s">
        <v>247</v>
      </c>
      <c r="O39" s="19" t="s">
        <v>248</v>
      </c>
    </row>
    <row r="40" customFormat="false" ht="35.05" hidden="false" customHeight="false" outlineLevel="0" collapsed="false">
      <c r="A40" s="18" t="s">
        <v>30</v>
      </c>
      <c r="B40" s="19" t="s">
        <v>31</v>
      </c>
      <c r="C40" s="18" t="s">
        <v>249</v>
      </c>
      <c r="D40" s="19" t="s">
        <v>250</v>
      </c>
      <c r="E40" s="19" t="s">
        <v>251</v>
      </c>
      <c r="F40" s="20" t="s">
        <v>51</v>
      </c>
      <c r="G40" s="18" t="str">
        <f aca="false">IF(F40="Must","R1 – MVP",IF(F40="Should","R2","R3"))</f>
        <v>R1 – MVP</v>
      </c>
      <c r="H40" s="19" t="s">
        <v>108</v>
      </c>
      <c r="I40" s="21" t="n">
        <v>20</v>
      </c>
      <c r="J40" s="21" t="n">
        <v>14</v>
      </c>
      <c r="K40" s="21" t="n">
        <v>8</v>
      </c>
      <c r="L40" s="21" t="n">
        <v>0</v>
      </c>
      <c r="M40" s="22" t="n">
        <f aca="false">SUM(I40:L40)</f>
        <v>42</v>
      </c>
      <c r="N40" s="19" t="s">
        <v>252</v>
      </c>
      <c r="O40" s="19" t="s">
        <v>253</v>
      </c>
    </row>
    <row r="41" customFormat="false" ht="35.05" hidden="false" customHeight="false" outlineLevel="0" collapsed="false">
      <c r="A41" s="18" t="s">
        <v>30</v>
      </c>
      <c r="B41" s="19" t="s">
        <v>31</v>
      </c>
      <c r="C41" s="18" t="s">
        <v>254</v>
      </c>
      <c r="D41" s="19" t="s">
        <v>255</v>
      </c>
      <c r="E41" s="19" t="s">
        <v>256</v>
      </c>
      <c r="F41" s="20" t="s">
        <v>51</v>
      </c>
      <c r="G41" s="18" t="str">
        <f aca="false">IF(F41="Must","R1 – MVP",IF(F41="Should","R2","R3"))</f>
        <v>R1 – MVP</v>
      </c>
      <c r="H41" s="19" t="s">
        <v>108</v>
      </c>
      <c r="I41" s="21" t="n">
        <v>14</v>
      </c>
      <c r="J41" s="21" t="n">
        <v>10</v>
      </c>
      <c r="K41" s="21" t="n">
        <v>6</v>
      </c>
      <c r="L41" s="21" t="n">
        <v>0</v>
      </c>
      <c r="M41" s="22" t="n">
        <f aca="false">SUM(I41:L41)</f>
        <v>30</v>
      </c>
      <c r="N41" s="19" t="s">
        <v>257</v>
      </c>
      <c r="O41" s="19" t="s">
        <v>258</v>
      </c>
    </row>
    <row r="42" customFormat="false" ht="35.05" hidden="false" customHeight="false" outlineLevel="0" collapsed="false">
      <c r="A42" s="18" t="s">
        <v>30</v>
      </c>
      <c r="B42" s="19" t="s">
        <v>31</v>
      </c>
      <c r="C42" s="18" t="s">
        <v>259</v>
      </c>
      <c r="D42" s="19" t="s">
        <v>260</v>
      </c>
      <c r="E42" s="19" t="s">
        <v>261</v>
      </c>
      <c r="F42" s="20" t="s">
        <v>51</v>
      </c>
      <c r="G42" s="18" t="str">
        <f aca="false">IF(F42="Must","R1 – MVP",IF(F42="Should","R2","R3"))</f>
        <v>R1 – MVP</v>
      </c>
      <c r="H42" s="19" t="s">
        <v>108</v>
      </c>
      <c r="I42" s="21" t="n">
        <v>8</v>
      </c>
      <c r="J42" s="21" t="n">
        <v>4</v>
      </c>
      <c r="K42" s="21" t="n">
        <v>4</v>
      </c>
      <c r="L42" s="21" t="n">
        <v>0</v>
      </c>
      <c r="M42" s="22" t="n">
        <f aca="false">SUM(I42:L42)</f>
        <v>16</v>
      </c>
      <c r="N42" s="19" t="s">
        <v>199</v>
      </c>
      <c r="O42" s="19" t="s">
        <v>262</v>
      </c>
    </row>
    <row r="43" customFormat="false" ht="35.05" hidden="false" customHeight="false" outlineLevel="0" collapsed="false">
      <c r="A43" s="18" t="s">
        <v>30</v>
      </c>
      <c r="B43" s="19" t="s">
        <v>31</v>
      </c>
      <c r="C43" s="18" t="s">
        <v>263</v>
      </c>
      <c r="D43" s="19" t="s">
        <v>264</v>
      </c>
      <c r="E43" s="19" t="s">
        <v>265</v>
      </c>
      <c r="F43" s="20" t="s">
        <v>51</v>
      </c>
      <c r="G43" s="18" t="str">
        <f aca="false">IF(F43="Must","R1 – MVP",IF(F43="Should","R2","R3"))</f>
        <v>R1 – MVP</v>
      </c>
      <c r="H43" s="19" t="s">
        <v>108</v>
      </c>
      <c r="I43" s="21" t="n">
        <v>10</v>
      </c>
      <c r="J43" s="21" t="n">
        <v>6</v>
      </c>
      <c r="K43" s="21" t="n">
        <v>5</v>
      </c>
      <c r="L43" s="21" t="n">
        <v>0</v>
      </c>
      <c r="M43" s="22" t="n">
        <f aca="false">SUM(I43:L43)</f>
        <v>21</v>
      </c>
      <c r="N43" s="19" t="s">
        <v>266</v>
      </c>
      <c r="O43" s="19" t="s">
        <v>234</v>
      </c>
    </row>
    <row r="44" customFormat="false" ht="35.05" hidden="false" customHeight="false" outlineLevel="0" collapsed="false">
      <c r="A44" s="18" t="s">
        <v>30</v>
      </c>
      <c r="B44" s="19" t="s">
        <v>31</v>
      </c>
      <c r="C44" s="18" t="s">
        <v>267</v>
      </c>
      <c r="D44" s="19" t="s">
        <v>268</v>
      </c>
      <c r="E44" s="19" t="s">
        <v>269</v>
      </c>
      <c r="F44" s="24" t="s">
        <v>53</v>
      </c>
      <c r="G44" s="18" t="str">
        <f aca="false">IF(F44="Must","R1 – MVP",IF(F44="Should","R2","R3"))</f>
        <v>R2</v>
      </c>
      <c r="H44" s="19" t="s">
        <v>93</v>
      </c>
      <c r="I44" s="21" t="n">
        <v>14</v>
      </c>
      <c r="J44" s="21" t="n">
        <v>0</v>
      </c>
      <c r="K44" s="21" t="n">
        <v>4</v>
      </c>
      <c r="L44" s="21" t="n">
        <v>0</v>
      </c>
      <c r="M44" s="22" t="n">
        <f aca="false">SUM(I44:L44)</f>
        <v>18</v>
      </c>
      <c r="N44" s="19" t="s">
        <v>270</v>
      </c>
      <c r="O44" s="19" t="s">
        <v>271</v>
      </c>
    </row>
    <row r="45" customFormat="false" ht="23.85" hidden="false" customHeight="false" outlineLevel="0" collapsed="false">
      <c r="A45" s="18" t="s">
        <v>30</v>
      </c>
      <c r="B45" s="19" t="s">
        <v>31</v>
      </c>
      <c r="C45" s="18" t="s">
        <v>272</v>
      </c>
      <c r="D45" s="19" t="s">
        <v>273</v>
      </c>
      <c r="E45" s="19" t="s">
        <v>274</v>
      </c>
      <c r="F45" s="20" t="s">
        <v>51</v>
      </c>
      <c r="G45" s="18" t="str">
        <f aca="false">IF(F45="Must","R1 – MVP",IF(F45="Should","R2","R3"))</f>
        <v>R1 – MVP</v>
      </c>
      <c r="H45" s="19" t="s">
        <v>108</v>
      </c>
      <c r="I45" s="21" t="n">
        <v>2</v>
      </c>
      <c r="J45" s="21" t="n">
        <v>2</v>
      </c>
      <c r="K45" s="21" t="n">
        <v>2</v>
      </c>
      <c r="L45" s="21" t="n">
        <v>0</v>
      </c>
      <c r="M45" s="22" t="n">
        <f aca="false">SUM(I45:L45)</f>
        <v>6</v>
      </c>
      <c r="N45" s="19" t="s">
        <v>275</v>
      </c>
      <c r="O45" s="19" t="s">
        <v>276</v>
      </c>
    </row>
    <row r="46" customFormat="false" ht="35.05" hidden="false" customHeight="false" outlineLevel="0" collapsed="false">
      <c r="A46" s="18" t="s">
        <v>30</v>
      </c>
      <c r="B46" s="19" t="s">
        <v>31</v>
      </c>
      <c r="C46" s="18" t="s">
        <v>277</v>
      </c>
      <c r="D46" s="19" t="s">
        <v>278</v>
      </c>
      <c r="E46" s="19" t="s">
        <v>279</v>
      </c>
      <c r="F46" s="20" t="s">
        <v>51</v>
      </c>
      <c r="G46" s="18" t="str">
        <f aca="false">IF(F46="Must","R1 – MVP",IF(F46="Should","R2","R3"))</f>
        <v>R1 – MVP</v>
      </c>
      <c r="H46" s="19" t="s">
        <v>108</v>
      </c>
      <c r="I46" s="21" t="n">
        <v>10</v>
      </c>
      <c r="J46" s="21" t="n">
        <v>14</v>
      </c>
      <c r="K46" s="21" t="n">
        <v>8</v>
      </c>
      <c r="L46" s="21" t="n">
        <v>0</v>
      </c>
      <c r="M46" s="22" t="n">
        <f aca="false">SUM(I46:L46)</f>
        <v>32</v>
      </c>
      <c r="N46" s="19" t="s">
        <v>280</v>
      </c>
      <c r="O46" s="19" t="s">
        <v>281</v>
      </c>
    </row>
    <row r="47" customFormat="false" ht="23.85" hidden="false" customHeight="false" outlineLevel="0" collapsed="false">
      <c r="A47" s="18" t="s">
        <v>30</v>
      </c>
      <c r="B47" s="19" t="s">
        <v>31</v>
      </c>
      <c r="C47" s="18" t="s">
        <v>282</v>
      </c>
      <c r="D47" s="19" t="s">
        <v>283</v>
      </c>
      <c r="E47" s="19" t="s">
        <v>284</v>
      </c>
      <c r="F47" s="24" t="s">
        <v>53</v>
      </c>
      <c r="G47" s="18" t="str">
        <f aca="false">IF(F47="Must","R1 – MVP",IF(F47="Should","R2","R3"))</f>
        <v>R2</v>
      </c>
      <c r="H47" s="19" t="s">
        <v>108</v>
      </c>
      <c r="I47" s="21" t="n">
        <v>8</v>
      </c>
      <c r="J47" s="21" t="n">
        <v>8</v>
      </c>
      <c r="K47" s="21" t="n">
        <v>4</v>
      </c>
      <c r="L47" s="21" t="n">
        <v>0</v>
      </c>
      <c r="M47" s="22" t="n">
        <f aca="false">SUM(I47:L47)</f>
        <v>20</v>
      </c>
      <c r="N47" s="19" t="s">
        <v>285</v>
      </c>
      <c r="O47" s="19" t="s">
        <v>276</v>
      </c>
    </row>
    <row r="48" customFormat="false" ht="46.25" hidden="false" customHeight="false" outlineLevel="0" collapsed="false">
      <c r="A48" s="18" t="s">
        <v>32</v>
      </c>
      <c r="B48" s="19" t="s">
        <v>33</v>
      </c>
      <c r="C48" s="18" t="s">
        <v>286</v>
      </c>
      <c r="D48" s="19" t="s">
        <v>287</v>
      </c>
      <c r="E48" s="19" t="s">
        <v>288</v>
      </c>
      <c r="F48" s="20" t="s">
        <v>51</v>
      </c>
      <c r="G48" s="18" t="str">
        <f aca="false">IF(F48="Must","R1 – MVP",IF(F48="Should","R2","R3"))</f>
        <v>R1 – MVP</v>
      </c>
      <c r="H48" s="19" t="s">
        <v>108</v>
      </c>
      <c r="I48" s="21" t="n">
        <v>24</v>
      </c>
      <c r="J48" s="21" t="n">
        <v>16</v>
      </c>
      <c r="K48" s="21" t="n">
        <v>8</v>
      </c>
      <c r="L48" s="21" t="n">
        <v>0</v>
      </c>
      <c r="M48" s="22" t="n">
        <f aca="false">SUM(I48:L48)</f>
        <v>48</v>
      </c>
      <c r="N48" s="19" t="s">
        <v>289</v>
      </c>
      <c r="O48" s="19" t="s">
        <v>276</v>
      </c>
    </row>
    <row r="49" customFormat="false" ht="35.05" hidden="false" customHeight="false" outlineLevel="0" collapsed="false">
      <c r="A49" s="18" t="s">
        <v>32</v>
      </c>
      <c r="B49" s="19" t="s">
        <v>33</v>
      </c>
      <c r="C49" s="18" t="s">
        <v>290</v>
      </c>
      <c r="D49" s="19" t="s">
        <v>291</v>
      </c>
      <c r="E49" s="19" t="s">
        <v>292</v>
      </c>
      <c r="F49" s="20" t="s">
        <v>51</v>
      </c>
      <c r="G49" s="18" t="str">
        <f aca="false">IF(F49="Must","R1 – MVP",IF(F49="Should","R2","R3"))</f>
        <v>R1 – MVP</v>
      </c>
      <c r="H49" s="19" t="s">
        <v>108</v>
      </c>
      <c r="I49" s="21" t="n">
        <v>12</v>
      </c>
      <c r="J49" s="21" t="n">
        <v>12</v>
      </c>
      <c r="K49" s="21" t="n">
        <v>6</v>
      </c>
      <c r="L49" s="21" t="n">
        <v>0</v>
      </c>
      <c r="M49" s="22" t="n">
        <f aca="false">SUM(I49:L49)</f>
        <v>30</v>
      </c>
      <c r="N49" s="19" t="s">
        <v>293</v>
      </c>
      <c r="O49" s="19" t="s">
        <v>294</v>
      </c>
    </row>
    <row r="50" customFormat="false" ht="23.85" hidden="false" customHeight="false" outlineLevel="0" collapsed="false">
      <c r="A50" s="18" t="s">
        <v>32</v>
      </c>
      <c r="B50" s="19" t="s">
        <v>33</v>
      </c>
      <c r="C50" s="18" t="s">
        <v>295</v>
      </c>
      <c r="D50" s="19" t="s">
        <v>296</v>
      </c>
      <c r="E50" s="19" t="s">
        <v>297</v>
      </c>
      <c r="F50" s="20" t="s">
        <v>51</v>
      </c>
      <c r="G50" s="18" t="str">
        <f aca="false">IF(F50="Must","R1 – MVP",IF(F50="Should","R2","R3"))</f>
        <v>R1 – MVP</v>
      </c>
      <c r="H50" s="19" t="s">
        <v>108</v>
      </c>
      <c r="I50" s="21" t="n">
        <v>8</v>
      </c>
      <c r="J50" s="21" t="n">
        <v>8</v>
      </c>
      <c r="K50" s="21" t="n">
        <v>5</v>
      </c>
      <c r="L50" s="21" t="n">
        <v>0</v>
      </c>
      <c r="M50" s="22" t="n">
        <f aca="false">SUM(I50:L50)</f>
        <v>21</v>
      </c>
      <c r="N50" s="19" t="s">
        <v>298</v>
      </c>
      <c r="O50" s="19" t="s">
        <v>159</v>
      </c>
    </row>
    <row r="51" customFormat="false" ht="35.05" hidden="false" customHeight="false" outlineLevel="0" collapsed="false">
      <c r="A51" s="18" t="s">
        <v>32</v>
      </c>
      <c r="B51" s="19" t="s">
        <v>33</v>
      </c>
      <c r="C51" s="18" t="s">
        <v>299</v>
      </c>
      <c r="D51" s="19" t="s">
        <v>300</v>
      </c>
      <c r="E51" s="19" t="s">
        <v>301</v>
      </c>
      <c r="F51" s="20" t="s">
        <v>51</v>
      </c>
      <c r="G51" s="18" t="str">
        <f aca="false">IF(F51="Must","R1 – MVP",IF(F51="Should","R2","R3"))</f>
        <v>R1 – MVP</v>
      </c>
      <c r="H51" s="19" t="s">
        <v>108</v>
      </c>
      <c r="I51" s="21" t="n">
        <v>16</v>
      </c>
      <c r="J51" s="21" t="n">
        <v>12</v>
      </c>
      <c r="K51" s="21" t="n">
        <v>8</v>
      </c>
      <c r="L51" s="21" t="n">
        <v>0</v>
      </c>
      <c r="M51" s="22" t="n">
        <f aca="false">SUM(I51:L51)</f>
        <v>36</v>
      </c>
      <c r="N51" s="19" t="s">
        <v>302</v>
      </c>
      <c r="O51" s="19" t="s">
        <v>276</v>
      </c>
    </row>
    <row r="52" customFormat="false" ht="23.85" hidden="false" customHeight="false" outlineLevel="0" collapsed="false">
      <c r="A52" s="18" t="s">
        <v>32</v>
      </c>
      <c r="B52" s="19" t="s">
        <v>33</v>
      </c>
      <c r="C52" s="18" t="s">
        <v>303</v>
      </c>
      <c r="D52" s="19" t="s">
        <v>304</v>
      </c>
      <c r="E52" s="19" t="s">
        <v>305</v>
      </c>
      <c r="F52" s="20" t="s">
        <v>51</v>
      </c>
      <c r="G52" s="18" t="str">
        <f aca="false">IF(F52="Must","R1 – MVP",IF(F52="Should","R2","R3"))</f>
        <v>R1 – MVP</v>
      </c>
      <c r="H52" s="19" t="s">
        <v>108</v>
      </c>
      <c r="I52" s="21" t="n">
        <v>6</v>
      </c>
      <c r="J52" s="21" t="n">
        <v>12</v>
      </c>
      <c r="K52" s="21" t="n">
        <v>5</v>
      </c>
      <c r="L52" s="21" t="n">
        <v>0</v>
      </c>
      <c r="M52" s="22" t="n">
        <f aca="false">SUM(I52:L52)</f>
        <v>23</v>
      </c>
      <c r="N52" s="19" t="s">
        <v>306</v>
      </c>
      <c r="O52" s="19" t="s">
        <v>294</v>
      </c>
    </row>
    <row r="53" customFormat="false" ht="23.85" hidden="false" customHeight="false" outlineLevel="0" collapsed="false">
      <c r="A53" s="18" t="s">
        <v>32</v>
      </c>
      <c r="B53" s="19" t="s">
        <v>33</v>
      </c>
      <c r="C53" s="18" t="s">
        <v>307</v>
      </c>
      <c r="D53" s="19" t="s">
        <v>308</v>
      </c>
      <c r="E53" s="19" t="s">
        <v>309</v>
      </c>
      <c r="F53" s="24" t="s">
        <v>53</v>
      </c>
      <c r="G53" s="18" t="str">
        <f aca="false">IF(F53="Must","R1 – MVP",IF(F53="Should","R2","R3"))</f>
        <v>R2</v>
      </c>
      <c r="H53" s="19" t="s">
        <v>108</v>
      </c>
      <c r="I53" s="21" t="n">
        <v>10</v>
      </c>
      <c r="J53" s="21" t="n">
        <v>8</v>
      </c>
      <c r="K53" s="21" t="n">
        <v>4</v>
      </c>
      <c r="L53" s="21" t="n">
        <v>0</v>
      </c>
      <c r="M53" s="22" t="n">
        <f aca="false">SUM(I53:L53)</f>
        <v>22</v>
      </c>
      <c r="N53" s="19" t="s">
        <v>310</v>
      </c>
      <c r="O53" s="19" t="s">
        <v>294</v>
      </c>
    </row>
    <row r="54" customFormat="false" ht="35.05" hidden="false" customHeight="false" outlineLevel="0" collapsed="false">
      <c r="A54" s="18" t="s">
        <v>34</v>
      </c>
      <c r="B54" s="19" t="s">
        <v>35</v>
      </c>
      <c r="C54" s="18" t="s">
        <v>311</v>
      </c>
      <c r="D54" s="19" t="s">
        <v>312</v>
      </c>
      <c r="E54" s="19" t="s">
        <v>313</v>
      </c>
      <c r="F54" s="20" t="s">
        <v>51</v>
      </c>
      <c r="G54" s="18" t="str">
        <f aca="false">IF(F54="Must","R1 – MVP",IF(F54="Should","R2","R3"))</f>
        <v>R1 – MVP</v>
      </c>
      <c r="H54" s="19" t="s">
        <v>108</v>
      </c>
      <c r="I54" s="21" t="n">
        <v>12</v>
      </c>
      <c r="J54" s="21" t="n">
        <v>10</v>
      </c>
      <c r="K54" s="21" t="n">
        <v>5</v>
      </c>
      <c r="L54" s="21" t="n">
        <v>0</v>
      </c>
      <c r="M54" s="22" t="n">
        <f aca="false">SUM(I54:L54)</f>
        <v>27</v>
      </c>
      <c r="N54" s="19" t="s">
        <v>314</v>
      </c>
      <c r="O54" s="19" t="s">
        <v>315</v>
      </c>
    </row>
    <row r="55" customFormat="false" ht="23.85" hidden="false" customHeight="false" outlineLevel="0" collapsed="false">
      <c r="A55" s="18" t="s">
        <v>34</v>
      </c>
      <c r="B55" s="19" t="s">
        <v>35</v>
      </c>
      <c r="C55" s="18" t="s">
        <v>316</v>
      </c>
      <c r="D55" s="19" t="s">
        <v>317</v>
      </c>
      <c r="E55" s="19" t="s">
        <v>318</v>
      </c>
      <c r="F55" s="20" t="s">
        <v>51</v>
      </c>
      <c r="G55" s="18" t="str">
        <f aca="false">IF(F55="Must","R1 – MVP",IF(F55="Should","R2","R3"))</f>
        <v>R1 – MVP</v>
      </c>
      <c r="H55" s="19" t="s">
        <v>108</v>
      </c>
      <c r="I55" s="21" t="n">
        <v>4</v>
      </c>
      <c r="J55" s="21" t="n">
        <v>8</v>
      </c>
      <c r="K55" s="21" t="n">
        <v>4</v>
      </c>
      <c r="L55" s="21" t="n">
        <v>0</v>
      </c>
      <c r="M55" s="22" t="n">
        <f aca="false">SUM(I55:L55)</f>
        <v>16</v>
      </c>
      <c r="N55" s="19" t="s">
        <v>319</v>
      </c>
      <c r="O55" s="19" t="s">
        <v>320</v>
      </c>
    </row>
    <row r="56" customFormat="false" ht="35.05" hidden="false" customHeight="false" outlineLevel="0" collapsed="false">
      <c r="A56" s="18" t="s">
        <v>34</v>
      </c>
      <c r="B56" s="19" t="s">
        <v>35</v>
      </c>
      <c r="C56" s="18" t="s">
        <v>321</v>
      </c>
      <c r="D56" s="19" t="s">
        <v>322</v>
      </c>
      <c r="E56" s="19" t="s">
        <v>323</v>
      </c>
      <c r="F56" s="20" t="s">
        <v>51</v>
      </c>
      <c r="G56" s="18" t="str">
        <f aca="false">IF(F56="Must","R1 – MVP",IF(F56="Should","R2","R3"))</f>
        <v>R1 – MVP</v>
      </c>
      <c r="H56" s="19" t="s">
        <v>108</v>
      </c>
      <c r="I56" s="21" t="n">
        <v>14</v>
      </c>
      <c r="J56" s="21" t="n">
        <v>14</v>
      </c>
      <c r="K56" s="21" t="n">
        <v>7</v>
      </c>
      <c r="L56" s="21" t="n">
        <v>0</v>
      </c>
      <c r="M56" s="22" t="n">
        <f aca="false">SUM(I56:L56)</f>
        <v>35</v>
      </c>
      <c r="N56" s="19" t="s">
        <v>324</v>
      </c>
      <c r="O56" s="19" t="s">
        <v>320</v>
      </c>
    </row>
    <row r="57" customFormat="false" ht="23.85" hidden="false" customHeight="false" outlineLevel="0" collapsed="false">
      <c r="A57" s="18" t="s">
        <v>34</v>
      </c>
      <c r="B57" s="19" t="s">
        <v>35</v>
      </c>
      <c r="C57" s="18" t="s">
        <v>325</v>
      </c>
      <c r="D57" s="19" t="s">
        <v>326</v>
      </c>
      <c r="E57" s="19" t="s">
        <v>327</v>
      </c>
      <c r="F57" s="20" t="s">
        <v>51</v>
      </c>
      <c r="G57" s="18" t="str">
        <f aca="false">IF(F57="Must","R1 – MVP",IF(F57="Should","R2","R3"))</f>
        <v>R1 – MVP</v>
      </c>
      <c r="H57" s="19" t="s">
        <v>108</v>
      </c>
      <c r="I57" s="21" t="n">
        <v>8</v>
      </c>
      <c r="J57" s="21" t="n">
        <v>8</v>
      </c>
      <c r="K57" s="21" t="n">
        <v>4</v>
      </c>
      <c r="L57" s="21" t="n">
        <v>0</v>
      </c>
      <c r="M57" s="22" t="n">
        <f aca="false">SUM(I57:L57)</f>
        <v>20</v>
      </c>
      <c r="N57" s="19" t="s">
        <v>328</v>
      </c>
      <c r="O57" s="19" t="s">
        <v>320</v>
      </c>
    </row>
    <row r="58" customFormat="false" ht="35.05" hidden="false" customHeight="false" outlineLevel="0" collapsed="false">
      <c r="A58" s="18" t="s">
        <v>34</v>
      </c>
      <c r="B58" s="19" t="s">
        <v>35</v>
      </c>
      <c r="C58" s="18" t="s">
        <v>329</v>
      </c>
      <c r="D58" s="19" t="s">
        <v>330</v>
      </c>
      <c r="E58" s="19" t="s">
        <v>331</v>
      </c>
      <c r="F58" s="20" t="s">
        <v>51</v>
      </c>
      <c r="G58" s="18" t="str">
        <f aca="false">IF(F58="Must","R1 – MVP",IF(F58="Should","R2","R3"))</f>
        <v>R1 – MVP</v>
      </c>
      <c r="H58" s="19" t="s">
        <v>108</v>
      </c>
      <c r="I58" s="21" t="n">
        <v>8</v>
      </c>
      <c r="J58" s="21" t="n">
        <v>12</v>
      </c>
      <c r="K58" s="21" t="n">
        <v>5</v>
      </c>
      <c r="L58" s="21" t="n">
        <v>0</v>
      </c>
      <c r="M58" s="22" t="n">
        <f aca="false">SUM(I58:L58)</f>
        <v>25</v>
      </c>
      <c r="N58" s="19" t="s">
        <v>332</v>
      </c>
      <c r="O58" s="19" t="s">
        <v>333</v>
      </c>
    </row>
    <row r="59" customFormat="false" ht="35.05" hidden="false" customHeight="false" outlineLevel="0" collapsed="false">
      <c r="A59" s="18" t="s">
        <v>34</v>
      </c>
      <c r="B59" s="19" t="s">
        <v>35</v>
      </c>
      <c r="C59" s="18" t="s">
        <v>334</v>
      </c>
      <c r="D59" s="19" t="s">
        <v>335</v>
      </c>
      <c r="E59" s="19" t="s">
        <v>336</v>
      </c>
      <c r="F59" s="24" t="s">
        <v>53</v>
      </c>
      <c r="G59" s="18" t="str">
        <f aca="false">IF(F59="Must","R1 – MVP",IF(F59="Should","R2","R3"))</f>
        <v>R2</v>
      </c>
      <c r="H59" s="19" t="s">
        <v>88</v>
      </c>
      <c r="I59" s="21" t="n">
        <v>0</v>
      </c>
      <c r="J59" s="21" t="n">
        <v>16</v>
      </c>
      <c r="K59" s="21" t="n">
        <v>5</v>
      </c>
      <c r="L59" s="21" t="n">
        <v>0</v>
      </c>
      <c r="M59" s="22" t="n">
        <f aca="false">SUM(I59:L59)</f>
        <v>21</v>
      </c>
      <c r="N59" s="19" t="s">
        <v>337</v>
      </c>
      <c r="O59" s="19" t="s">
        <v>338</v>
      </c>
    </row>
    <row r="60" customFormat="false" ht="35.05" hidden="false" customHeight="false" outlineLevel="0" collapsed="false">
      <c r="A60" s="18" t="s">
        <v>36</v>
      </c>
      <c r="B60" s="19" t="s">
        <v>37</v>
      </c>
      <c r="C60" s="18" t="s">
        <v>339</v>
      </c>
      <c r="D60" s="19" t="s">
        <v>340</v>
      </c>
      <c r="E60" s="19" t="s">
        <v>341</v>
      </c>
      <c r="F60" s="20" t="s">
        <v>51</v>
      </c>
      <c r="G60" s="18" t="str">
        <f aca="false">IF(F60="Must","R1 – MVP",IF(F60="Should","R2","R3"))</f>
        <v>R1 – MVP</v>
      </c>
      <c r="H60" s="19" t="s">
        <v>108</v>
      </c>
      <c r="I60" s="21" t="n">
        <v>20</v>
      </c>
      <c r="J60" s="21" t="n">
        <v>14</v>
      </c>
      <c r="K60" s="21" t="n">
        <v>7</v>
      </c>
      <c r="L60" s="21" t="n">
        <v>0</v>
      </c>
      <c r="M60" s="22" t="n">
        <f aca="false">SUM(I60:L60)</f>
        <v>41</v>
      </c>
      <c r="N60" s="19" t="s">
        <v>342</v>
      </c>
      <c r="O60" s="19" t="s">
        <v>119</v>
      </c>
    </row>
    <row r="61" customFormat="false" ht="23.85" hidden="false" customHeight="false" outlineLevel="0" collapsed="false">
      <c r="A61" s="18" t="s">
        <v>36</v>
      </c>
      <c r="B61" s="19" t="s">
        <v>37</v>
      </c>
      <c r="C61" s="18" t="s">
        <v>343</v>
      </c>
      <c r="D61" s="19" t="s">
        <v>344</v>
      </c>
      <c r="E61" s="19" t="s">
        <v>345</v>
      </c>
      <c r="F61" s="20" t="s">
        <v>51</v>
      </c>
      <c r="G61" s="18" t="str">
        <f aca="false">IF(F61="Must","R1 – MVP",IF(F61="Should","R2","R3"))</f>
        <v>R1 – MVP</v>
      </c>
      <c r="H61" s="19" t="s">
        <v>108</v>
      </c>
      <c r="I61" s="21" t="n">
        <v>10</v>
      </c>
      <c r="J61" s="21" t="n">
        <v>10</v>
      </c>
      <c r="K61" s="21" t="n">
        <v>5</v>
      </c>
      <c r="L61" s="21" t="n">
        <v>0</v>
      </c>
      <c r="M61" s="22" t="n">
        <f aca="false">SUM(I61:L61)</f>
        <v>25</v>
      </c>
      <c r="N61" s="19" t="s">
        <v>346</v>
      </c>
      <c r="O61" s="19" t="s">
        <v>347</v>
      </c>
    </row>
    <row r="62" customFormat="false" ht="23.85" hidden="false" customHeight="false" outlineLevel="0" collapsed="false">
      <c r="A62" s="18" t="s">
        <v>36</v>
      </c>
      <c r="B62" s="19" t="s">
        <v>37</v>
      </c>
      <c r="C62" s="18" t="s">
        <v>348</v>
      </c>
      <c r="D62" s="19" t="s">
        <v>349</v>
      </c>
      <c r="E62" s="19" t="s">
        <v>350</v>
      </c>
      <c r="F62" s="20" t="s">
        <v>51</v>
      </c>
      <c r="G62" s="18" t="str">
        <f aca="false">IF(F62="Must","R1 – MVP",IF(F62="Should","R2","R3"))</f>
        <v>R1 – MVP</v>
      </c>
      <c r="H62" s="19" t="s">
        <v>108</v>
      </c>
      <c r="I62" s="21" t="n">
        <v>4</v>
      </c>
      <c r="J62" s="21" t="n">
        <v>10</v>
      </c>
      <c r="K62" s="21" t="n">
        <v>4</v>
      </c>
      <c r="L62" s="21" t="n">
        <v>0</v>
      </c>
      <c r="M62" s="22" t="n">
        <f aca="false">SUM(I62:L62)</f>
        <v>18</v>
      </c>
      <c r="N62" s="19" t="s">
        <v>346</v>
      </c>
      <c r="O62" s="19" t="s">
        <v>347</v>
      </c>
    </row>
    <row r="63" customFormat="false" ht="46.25" hidden="false" customHeight="false" outlineLevel="0" collapsed="false">
      <c r="A63" s="18" t="s">
        <v>36</v>
      </c>
      <c r="B63" s="19" t="s">
        <v>37</v>
      </c>
      <c r="C63" s="18" t="s">
        <v>351</v>
      </c>
      <c r="D63" s="19" t="s">
        <v>352</v>
      </c>
      <c r="E63" s="19" t="s">
        <v>353</v>
      </c>
      <c r="F63" s="20" t="s">
        <v>51</v>
      </c>
      <c r="G63" s="18" t="str">
        <f aca="false">IF(F63="Must","R1 – MVP",IF(F63="Should","R2","R3"))</f>
        <v>R1 – MVP</v>
      </c>
      <c r="H63" s="19" t="s">
        <v>108</v>
      </c>
      <c r="I63" s="21" t="n">
        <v>10</v>
      </c>
      <c r="J63" s="21" t="n">
        <v>16</v>
      </c>
      <c r="K63" s="21" t="n">
        <v>8</v>
      </c>
      <c r="L63" s="21" t="n">
        <v>0</v>
      </c>
      <c r="M63" s="22" t="n">
        <f aca="false">SUM(I63:L63)</f>
        <v>34</v>
      </c>
      <c r="N63" s="19" t="s">
        <v>354</v>
      </c>
      <c r="O63" s="19" t="s">
        <v>347</v>
      </c>
    </row>
    <row r="64" customFormat="false" ht="23.85" hidden="false" customHeight="false" outlineLevel="0" collapsed="false">
      <c r="A64" s="18" t="s">
        <v>36</v>
      </c>
      <c r="B64" s="19" t="s">
        <v>37</v>
      </c>
      <c r="C64" s="18" t="s">
        <v>355</v>
      </c>
      <c r="D64" s="19" t="s">
        <v>356</v>
      </c>
      <c r="E64" s="19" t="s">
        <v>357</v>
      </c>
      <c r="F64" s="24" t="s">
        <v>53</v>
      </c>
      <c r="G64" s="18" t="str">
        <f aca="false">IF(F64="Must","R1 – MVP",IF(F64="Should","R2","R3"))</f>
        <v>R2</v>
      </c>
      <c r="H64" s="19" t="s">
        <v>108</v>
      </c>
      <c r="I64" s="21" t="n">
        <v>16</v>
      </c>
      <c r="J64" s="21" t="n">
        <v>10</v>
      </c>
      <c r="K64" s="21" t="n">
        <v>6</v>
      </c>
      <c r="L64" s="21" t="n">
        <v>0</v>
      </c>
      <c r="M64" s="22" t="n">
        <f aca="false">SUM(I64:L64)</f>
        <v>32</v>
      </c>
      <c r="N64" s="19" t="s">
        <v>358</v>
      </c>
      <c r="O64" s="19" t="s">
        <v>359</v>
      </c>
    </row>
    <row r="65" customFormat="false" ht="23.85" hidden="false" customHeight="false" outlineLevel="0" collapsed="false">
      <c r="A65" s="18" t="s">
        <v>36</v>
      </c>
      <c r="B65" s="19" t="s">
        <v>37</v>
      </c>
      <c r="C65" s="18" t="s">
        <v>360</v>
      </c>
      <c r="D65" s="19" t="s">
        <v>361</v>
      </c>
      <c r="E65" s="19" t="s">
        <v>362</v>
      </c>
      <c r="F65" s="24" t="s">
        <v>53</v>
      </c>
      <c r="G65" s="18" t="str">
        <f aca="false">IF(F65="Must","R1 – MVP",IF(F65="Should","R2","R3"))</f>
        <v>R2</v>
      </c>
      <c r="H65" s="19" t="s">
        <v>108</v>
      </c>
      <c r="I65" s="21" t="n">
        <v>4</v>
      </c>
      <c r="J65" s="21" t="n">
        <v>12</v>
      </c>
      <c r="K65" s="21" t="n">
        <v>4</v>
      </c>
      <c r="L65" s="21" t="n">
        <v>0</v>
      </c>
      <c r="M65" s="22" t="n">
        <f aca="false">SUM(I65:L65)</f>
        <v>20</v>
      </c>
      <c r="N65" s="19" t="s">
        <v>363</v>
      </c>
      <c r="O65" s="19" t="s">
        <v>364</v>
      </c>
    </row>
    <row r="66" customFormat="false" ht="35.05" hidden="false" customHeight="false" outlineLevel="0" collapsed="false">
      <c r="A66" s="18" t="s">
        <v>36</v>
      </c>
      <c r="B66" s="19" t="s">
        <v>37</v>
      </c>
      <c r="C66" s="18" t="s">
        <v>365</v>
      </c>
      <c r="D66" s="19" t="s">
        <v>366</v>
      </c>
      <c r="E66" s="19" t="s">
        <v>367</v>
      </c>
      <c r="F66" s="24" t="s">
        <v>53</v>
      </c>
      <c r="G66" s="18" t="str">
        <f aca="false">IF(F66="Must","R1 – MVP",IF(F66="Should","R2","R3"))</f>
        <v>R2</v>
      </c>
      <c r="H66" s="19" t="s">
        <v>108</v>
      </c>
      <c r="I66" s="21" t="n">
        <v>24</v>
      </c>
      <c r="J66" s="21" t="n">
        <v>16</v>
      </c>
      <c r="K66" s="21" t="n">
        <v>8</v>
      </c>
      <c r="L66" s="21" t="n">
        <v>0</v>
      </c>
      <c r="M66" s="22" t="n">
        <f aca="false">SUM(I66:L66)</f>
        <v>48</v>
      </c>
      <c r="N66" s="19" t="s">
        <v>368</v>
      </c>
      <c r="O66" s="19" t="s">
        <v>347</v>
      </c>
    </row>
    <row r="67" customFormat="false" ht="23.85" hidden="false" customHeight="false" outlineLevel="0" collapsed="false">
      <c r="A67" s="18" t="s">
        <v>36</v>
      </c>
      <c r="B67" s="19" t="s">
        <v>37</v>
      </c>
      <c r="C67" s="18" t="s">
        <v>369</v>
      </c>
      <c r="D67" s="19" t="s">
        <v>370</v>
      </c>
      <c r="E67" s="19" t="s">
        <v>371</v>
      </c>
      <c r="F67" s="24" t="s">
        <v>53</v>
      </c>
      <c r="G67" s="18" t="str">
        <f aca="false">IF(F67="Must","R1 – MVP",IF(F67="Should","R2","R3"))</f>
        <v>R2</v>
      </c>
      <c r="H67" s="19" t="s">
        <v>88</v>
      </c>
      <c r="I67" s="21" t="n">
        <v>0</v>
      </c>
      <c r="J67" s="21" t="n">
        <v>24</v>
      </c>
      <c r="K67" s="21" t="n">
        <v>8</v>
      </c>
      <c r="L67" s="21" t="n">
        <v>0</v>
      </c>
      <c r="M67" s="22" t="n">
        <f aca="false">SUM(I67:L67)</f>
        <v>32</v>
      </c>
      <c r="N67" s="19" t="s">
        <v>372</v>
      </c>
      <c r="O67" s="19" t="s">
        <v>347</v>
      </c>
    </row>
    <row r="68" customFormat="false" ht="23.85" hidden="false" customHeight="false" outlineLevel="0" collapsed="false">
      <c r="A68" s="18" t="s">
        <v>38</v>
      </c>
      <c r="B68" s="19" t="s">
        <v>39</v>
      </c>
      <c r="C68" s="18" t="s">
        <v>373</v>
      </c>
      <c r="D68" s="19" t="s">
        <v>374</v>
      </c>
      <c r="E68" s="19" t="s">
        <v>375</v>
      </c>
      <c r="F68" s="20" t="s">
        <v>51</v>
      </c>
      <c r="G68" s="18" t="str">
        <f aca="false">IF(F68="Must","R1 – MVP",IF(F68="Should","R2","R3"))</f>
        <v>R1 – MVP</v>
      </c>
      <c r="H68" s="19" t="s">
        <v>108</v>
      </c>
      <c r="I68" s="21" t="n">
        <v>12</v>
      </c>
      <c r="J68" s="21" t="n">
        <v>8</v>
      </c>
      <c r="K68" s="21" t="n">
        <v>5</v>
      </c>
      <c r="L68" s="21" t="n">
        <v>0</v>
      </c>
      <c r="M68" s="22" t="n">
        <f aca="false">SUM(I68:L68)</f>
        <v>25</v>
      </c>
      <c r="N68" s="19" t="s">
        <v>376</v>
      </c>
      <c r="O68" s="19" t="s">
        <v>119</v>
      </c>
    </row>
    <row r="69" customFormat="false" ht="35.05" hidden="false" customHeight="false" outlineLevel="0" collapsed="false">
      <c r="A69" s="18" t="s">
        <v>38</v>
      </c>
      <c r="B69" s="19" t="s">
        <v>39</v>
      </c>
      <c r="C69" s="18" t="s">
        <v>377</v>
      </c>
      <c r="D69" s="19" t="s">
        <v>378</v>
      </c>
      <c r="E69" s="19" t="s">
        <v>379</v>
      </c>
      <c r="F69" s="20" t="s">
        <v>51</v>
      </c>
      <c r="G69" s="18" t="str">
        <f aca="false">IF(F69="Must","R1 – MVP",IF(F69="Should","R2","R3"))</f>
        <v>R1 – MVP</v>
      </c>
      <c r="H69" s="19" t="s">
        <v>108</v>
      </c>
      <c r="I69" s="21" t="n">
        <v>14</v>
      </c>
      <c r="J69" s="21" t="n">
        <v>12</v>
      </c>
      <c r="K69" s="21" t="n">
        <v>7</v>
      </c>
      <c r="L69" s="21" t="n">
        <v>0</v>
      </c>
      <c r="M69" s="22" t="n">
        <f aca="false">SUM(I69:L69)</f>
        <v>33</v>
      </c>
      <c r="N69" s="19" t="s">
        <v>380</v>
      </c>
      <c r="O69" s="19" t="s">
        <v>381</v>
      </c>
    </row>
    <row r="70" customFormat="false" ht="35.05" hidden="false" customHeight="false" outlineLevel="0" collapsed="false">
      <c r="A70" s="18" t="s">
        <v>38</v>
      </c>
      <c r="B70" s="19" t="s">
        <v>39</v>
      </c>
      <c r="C70" s="18" t="s">
        <v>382</v>
      </c>
      <c r="D70" s="19" t="s">
        <v>383</v>
      </c>
      <c r="E70" s="19" t="s">
        <v>384</v>
      </c>
      <c r="F70" s="20" t="s">
        <v>51</v>
      </c>
      <c r="G70" s="18" t="str">
        <f aca="false">IF(F70="Must","R1 – MVP",IF(F70="Should","R2","R3"))</f>
        <v>R1 – MVP</v>
      </c>
      <c r="H70" s="19" t="s">
        <v>108</v>
      </c>
      <c r="I70" s="21" t="n">
        <v>14</v>
      </c>
      <c r="J70" s="21" t="n">
        <v>10</v>
      </c>
      <c r="K70" s="21" t="n">
        <v>6</v>
      </c>
      <c r="L70" s="21" t="n">
        <v>0</v>
      </c>
      <c r="M70" s="22" t="n">
        <f aca="false">SUM(I70:L70)</f>
        <v>30</v>
      </c>
      <c r="N70" s="19" t="s">
        <v>385</v>
      </c>
      <c r="O70" s="19" t="s">
        <v>225</v>
      </c>
    </row>
    <row r="71" customFormat="false" ht="35.05" hidden="false" customHeight="false" outlineLevel="0" collapsed="false">
      <c r="A71" s="18" t="s">
        <v>38</v>
      </c>
      <c r="B71" s="19" t="s">
        <v>39</v>
      </c>
      <c r="C71" s="18" t="s">
        <v>386</v>
      </c>
      <c r="D71" s="19" t="s">
        <v>387</v>
      </c>
      <c r="E71" s="19" t="s">
        <v>388</v>
      </c>
      <c r="F71" s="20" t="s">
        <v>51</v>
      </c>
      <c r="G71" s="18" t="str">
        <f aca="false">IF(F71="Must","R1 – MVP",IF(F71="Should","R2","R3"))</f>
        <v>R1 – MVP</v>
      </c>
      <c r="H71" s="19" t="s">
        <v>108</v>
      </c>
      <c r="I71" s="21" t="n">
        <v>8</v>
      </c>
      <c r="J71" s="21" t="n">
        <v>14</v>
      </c>
      <c r="K71" s="21" t="n">
        <v>6</v>
      </c>
      <c r="L71" s="21" t="n">
        <v>0</v>
      </c>
      <c r="M71" s="22" t="n">
        <f aca="false">SUM(I71:L71)</f>
        <v>28</v>
      </c>
      <c r="N71" s="19" t="s">
        <v>389</v>
      </c>
      <c r="O71" s="19" t="s">
        <v>390</v>
      </c>
    </row>
    <row r="72" customFormat="false" ht="35.05" hidden="false" customHeight="false" outlineLevel="0" collapsed="false">
      <c r="A72" s="18" t="s">
        <v>38</v>
      </c>
      <c r="B72" s="19" t="s">
        <v>39</v>
      </c>
      <c r="C72" s="18" t="s">
        <v>391</v>
      </c>
      <c r="D72" s="19" t="s">
        <v>392</v>
      </c>
      <c r="E72" s="19" t="s">
        <v>393</v>
      </c>
      <c r="F72" s="20" t="s">
        <v>51</v>
      </c>
      <c r="G72" s="18" t="str">
        <f aca="false">IF(F72="Must","R1 – MVP",IF(F72="Should","R2","R3"))</f>
        <v>R1 – MVP</v>
      </c>
      <c r="H72" s="19" t="s">
        <v>108</v>
      </c>
      <c r="I72" s="21" t="n">
        <v>12</v>
      </c>
      <c r="J72" s="21" t="n">
        <v>14</v>
      </c>
      <c r="K72" s="21" t="n">
        <v>7</v>
      </c>
      <c r="L72" s="21" t="n">
        <v>0</v>
      </c>
      <c r="M72" s="22" t="n">
        <f aca="false">SUM(I72:L72)</f>
        <v>33</v>
      </c>
      <c r="N72" s="19" t="s">
        <v>394</v>
      </c>
      <c r="O72" s="19" t="s">
        <v>390</v>
      </c>
    </row>
    <row r="73" customFormat="false" ht="23.85" hidden="false" customHeight="false" outlineLevel="0" collapsed="false">
      <c r="A73" s="18" t="s">
        <v>38</v>
      </c>
      <c r="B73" s="19" t="s">
        <v>39</v>
      </c>
      <c r="C73" s="18" t="s">
        <v>395</v>
      </c>
      <c r="D73" s="19" t="s">
        <v>396</v>
      </c>
      <c r="E73" s="19" t="s">
        <v>397</v>
      </c>
      <c r="F73" s="20" t="s">
        <v>51</v>
      </c>
      <c r="G73" s="18" t="str">
        <f aca="false">IF(F73="Must","R1 – MVP",IF(F73="Should","R2","R3"))</f>
        <v>R1 – MVP</v>
      </c>
      <c r="H73" s="19" t="s">
        <v>108</v>
      </c>
      <c r="I73" s="21" t="n">
        <v>8</v>
      </c>
      <c r="J73" s="21" t="n">
        <v>8</v>
      </c>
      <c r="K73" s="21" t="n">
        <v>4</v>
      </c>
      <c r="L73" s="21" t="n">
        <v>0</v>
      </c>
      <c r="M73" s="22" t="n">
        <f aca="false">SUM(I73:L73)</f>
        <v>20</v>
      </c>
      <c r="N73" s="19" t="s">
        <v>398</v>
      </c>
      <c r="O73" s="19" t="s">
        <v>381</v>
      </c>
    </row>
    <row r="74" customFormat="false" ht="46.25" hidden="false" customHeight="false" outlineLevel="0" collapsed="false">
      <c r="A74" s="18" t="s">
        <v>40</v>
      </c>
      <c r="B74" s="19" t="s">
        <v>41</v>
      </c>
      <c r="C74" s="18" t="s">
        <v>399</v>
      </c>
      <c r="D74" s="19" t="s">
        <v>400</v>
      </c>
      <c r="E74" s="19" t="s">
        <v>401</v>
      </c>
      <c r="F74" s="20" t="s">
        <v>51</v>
      </c>
      <c r="G74" s="18" t="str">
        <f aca="false">IF(F74="Must","R1 – MVP",IF(F74="Should","R2","R3"))</f>
        <v>R1 – MVP</v>
      </c>
      <c r="H74" s="19" t="s">
        <v>108</v>
      </c>
      <c r="I74" s="21" t="n">
        <v>14</v>
      </c>
      <c r="J74" s="21" t="n">
        <v>10</v>
      </c>
      <c r="K74" s="21" t="n">
        <v>6</v>
      </c>
      <c r="L74" s="21" t="n">
        <v>0</v>
      </c>
      <c r="M74" s="22" t="n">
        <f aca="false">SUM(I74:L74)</f>
        <v>30</v>
      </c>
      <c r="N74" s="19" t="s">
        <v>402</v>
      </c>
      <c r="O74" s="19" t="s">
        <v>119</v>
      </c>
    </row>
    <row r="75" customFormat="false" ht="23.85" hidden="false" customHeight="false" outlineLevel="0" collapsed="false">
      <c r="A75" s="18" t="s">
        <v>40</v>
      </c>
      <c r="B75" s="19" t="s">
        <v>41</v>
      </c>
      <c r="C75" s="18" t="s">
        <v>403</v>
      </c>
      <c r="D75" s="19" t="s">
        <v>404</v>
      </c>
      <c r="E75" s="19" t="s">
        <v>405</v>
      </c>
      <c r="F75" s="20" t="s">
        <v>51</v>
      </c>
      <c r="G75" s="18" t="str">
        <f aca="false">IF(F75="Must","R1 – MVP",IF(F75="Should","R2","R3"))</f>
        <v>R1 – MVP</v>
      </c>
      <c r="H75" s="19" t="s">
        <v>108</v>
      </c>
      <c r="I75" s="21" t="n">
        <v>4</v>
      </c>
      <c r="J75" s="21" t="n">
        <v>6</v>
      </c>
      <c r="K75" s="21" t="n">
        <v>3</v>
      </c>
      <c r="L75" s="21" t="n">
        <v>0</v>
      </c>
      <c r="M75" s="22" t="n">
        <f aca="false">SUM(I75:L75)</f>
        <v>13</v>
      </c>
      <c r="N75" s="19" t="s">
        <v>406</v>
      </c>
      <c r="O75" s="19" t="s">
        <v>407</v>
      </c>
    </row>
    <row r="76" customFormat="false" ht="35.05" hidden="false" customHeight="false" outlineLevel="0" collapsed="false">
      <c r="A76" s="18" t="s">
        <v>40</v>
      </c>
      <c r="B76" s="19" t="s">
        <v>41</v>
      </c>
      <c r="C76" s="18" t="s">
        <v>408</v>
      </c>
      <c r="D76" s="19" t="s">
        <v>409</v>
      </c>
      <c r="E76" s="19" t="s">
        <v>410</v>
      </c>
      <c r="F76" s="20" t="s">
        <v>51</v>
      </c>
      <c r="G76" s="18" t="str">
        <f aca="false">IF(F76="Must","R1 – MVP",IF(F76="Should","R2","R3"))</f>
        <v>R1 – MVP</v>
      </c>
      <c r="H76" s="19" t="s">
        <v>108</v>
      </c>
      <c r="I76" s="21" t="n">
        <v>4</v>
      </c>
      <c r="J76" s="21" t="n">
        <v>4</v>
      </c>
      <c r="K76" s="21" t="n">
        <v>2</v>
      </c>
      <c r="L76" s="21" t="n">
        <v>0</v>
      </c>
      <c r="M76" s="22" t="n">
        <f aca="false">SUM(I76:L76)</f>
        <v>10</v>
      </c>
      <c r="N76" s="19" t="s">
        <v>411</v>
      </c>
      <c r="O76" s="19" t="s">
        <v>407</v>
      </c>
    </row>
    <row r="77" customFormat="false" ht="23.85" hidden="false" customHeight="false" outlineLevel="0" collapsed="false">
      <c r="A77" s="18" t="s">
        <v>40</v>
      </c>
      <c r="B77" s="19" t="s">
        <v>41</v>
      </c>
      <c r="C77" s="18" t="s">
        <v>412</v>
      </c>
      <c r="D77" s="19" t="s">
        <v>413</v>
      </c>
      <c r="E77" s="19" t="s">
        <v>414</v>
      </c>
      <c r="F77" s="24" t="s">
        <v>53</v>
      </c>
      <c r="G77" s="18" t="str">
        <f aca="false">IF(F77="Must","R1 – MVP",IF(F77="Should","R2","R3"))</f>
        <v>R2</v>
      </c>
      <c r="H77" s="19" t="s">
        <v>108</v>
      </c>
      <c r="I77" s="21" t="n">
        <v>10</v>
      </c>
      <c r="J77" s="21" t="n">
        <v>8</v>
      </c>
      <c r="K77" s="21" t="n">
        <v>4</v>
      </c>
      <c r="L77" s="21" t="n">
        <v>0</v>
      </c>
      <c r="M77" s="22" t="n">
        <f aca="false">SUM(I77:L77)</f>
        <v>22</v>
      </c>
      <c r="N77" s="19" t="s">
        <v>415</v>
      </c>
      <c r="O77" s="19" t="s">
        <v>407</v>
      </c>
    </row>
    <row r="78" customFormat="false" ht="23.85" hidden="false" customHeight="false" outlineLevel="0" collapsed="false">
      <c r="A78" s="18" t="s">
        <v>40</v>
      </c>
      <c r="B78" s="19" t="s">
        <v>41</v>
      </c>
      <c r="C78" s="18" t="s">
        <v>416</v>
      </c>
      <c r="D78" s="19" t="s">
        <v>417</v>
      </c>
      <c r="E78" s="19" t="s">
        <v>418</v>
      </c>
      <c r="F78" s="24" t="s">
        <v>53</v>
      </c>
      <c r="G78" s="18" t="str">
        <f aca="false">IF(F78="Must","R1 – MVP",IF(F78="Should","R2","R3"))</f>
        <v>R2</v>
      </c>
      <c r="H78" s="19" t="s">
        <v>108</v>
      </c>
      <c r="I78" s="21" t="n">
        <v>16</v>
      </c>
      <c r="J78" s="21" t="n">
        <v>12</v>
      </c>
      <c r="K78" s="21" t="n">
        <v>6</v>
      </c>
      <c r="L78" s="21" t="n">
        <v>0</v>
      </c>
      <c r="M78" s="22" t="n">
        <f aca="false">SUM(I78:L78)</f>
        <v>34</v>
      </c>
      <c r="N78" s="19" t="s">
        <v>419</v>
      </c>
      <c r="O78" s="19" t="s">
        <v>407</v>
      </c>
    </row>
    <row r="79" customFormat="false" ht="23.85" hidden="false" customHeight="false" outlineLevel="0" collapsed="false">
      <c r="A79" s="18" t="s">
        <v>40</v>
      </c>
      <c r="B79" s="19" t="s">
        <v>41</v>
      </c>
      <c r="C79" s="18" t="s">
        <v>420</v>
      </c>
      <c r="D79" s="19" t="s">
        <v>421</v>
      </c>
      <c r="E79" s="19" t="s">
        <v>422</v>
      </c>
      <c r="F79" s="24" t="s">
        <v>53</v>
      </c>
      <c r="G79" s="18" t="str">
        <f aca="false">IF(F79="Must","R1 – MVP",IF(F79="Should","R2","R3"))</f>
        <v>R2</v>
      </c>
      <c r="H79" s="19" t="s">
        <v>108</v>
      </c>
      <c r="I79" s="21" t="n">
        <v>4</v>
      </c>
      <c r="J79" s="21" t="n">
        <v>10</v>
      </c>
      <c r="K79" s="21" t="n">
        <v>5</v>
      </c>
      <c r="L79" s="21" t="n">
        <v>0</v>
      </c>
      <c r="M79" s="22" t="n">
        <f aca="false">SUM(I79:L79)</f>
        <v>19</v>
      </c>
      <c r="N79" s="19" t="s">
        <v>423</v>
      </c>
      <c r="O79" s="19" t="s">
        <v>407</v>
      </c>
    </row>
    <row r="80" customFormat="false" ht="23.85" hidden="false" customHeight="false" outlineLevel="0" collapsed="false">
      <c r="A80" s="18" t="s">
        <v>40</v>
      </c>
      <c r="B80" s="19" t="s">
        <v>41</v>
      </c>
      <c r="C80" s="18" t="s">
        <v>424</v>
      </c>
      <c r="D80" s="19" t="s">
        <v>425</v>
      </c>
      <c r="E80" s="19" t="s">
        <v>426</v>
      </c>
      <c r="F80" s="23" t="s">
        <v>55</v>
      </c>
      <c r="G80" s="18" t="str">
        <f aca="false">IF(F80="Must","R1 – MVP",IF(F80="Should","R2","R3"))</f>
        <v>R3</v>
      </c>
      <c r="H80" s="19" t="s">
        <v>108</v>
      </c>
      <c r="I80" s="21" t="n">
        <v>2</v>
      </c>
      <c r="J80" s="21" t="n">
        <v>8</v>
      </c>
      <c r="K80" s="21" t="n">
        <v>3</v>
      </c>
      <c r="L80" s="21" t="n">
        <v>0</v>
      </c>
      <c r="M80" s="22" t="n">
        <f aca="false">SUM(I80:L80)</f>
        <v>13</v>
      </c>
      <c r="N80" s="19" t="s">
        <v>427</v>
      </c>
      <c r="O80" s="19" t="s">
        <v>407</v>
      </c>
    </row>
    <row r="81" customFormat="false" ht="23.85" hidden="false" customHeight="false" outlineLevel="0" collapsed="false">
      <c r="A81" s="18" t="s">
        <v>40</v>
      </c>
      <c r="B81" s="19" t="s">
        <v>41</v>
      </c>
      <c r="C81" s="18" t="s">
        <v>428</v>
      </c>
      <c r="D81" s="19" t="s">
        <v>429</v>
      </c>
      <c r="E81" s="19" t="s">
        <v>430</v>
      </c>
      <c r="F81" s="20" t="s">
        <v>51</v>
      </c>
      <c r="G81" s="18" t="str">
        <f aca="false">IF(F81="Must","R1 – MVP",IF(F81="Should","R2","R3"))</f>
        <v>R1 – MVP</v>
      </c>
      <c r="H81" s="19" t="s">
        <v>108</v>
      </c>
      <c r="I81" s="21" t="n">
        <v>2</v>
      </c>
      <c r="J81" s="21" t="n">
        <v>10</v>
      </c>
      <c r="K81" s="21" t="n">
        <v>4</v>
      </c>
      <c r="L81" s="21" t="n">
        <v>0</v>
      </c>
      <c r="M81" s="22" t="n">
        <f aca="false">SUM(I81:L81)</f>
        <v>16</v>
      </c>
      <c r="N81" s="19" t="s">
        <v>431</v>
      </c>
      <c r="O81" s="19" t="s">
        <v>432</v>
      </c>
    </row>
    <row r="82" customFormat="false" ht="35.05" hidden="false" customHeight="false" outlineLevel="0" collapsed="false">
      <c r="A82" s="18" t="s">
        <v>42</v>
      </c>
      <c r="B82" s="19" t="s">
        <v>43</v>
      </c>
      <c r="C82" s="18" t="s">
        <v>433</v>
      </c>
      <c r="D82" s="19" t="s">
        <v>434</v>
      </c>
      <c r="E82" s="19" t="s">
        <v>435</v>
      </c>
      <c r="F82" s="20" t="s">
        <v>51</v>
      </c>
      <c r="G82" s="18" t="str">
        <f aca="false">IF(F82="Must","R1 – MVP",IF(F82="Should","R2","R3"))</f>
        <v>R1 – MVP</v>
      </c>
      <c r="H82" s="19" t="s">
        <v>108</v>
      </c>
      <c r="I82" s="21" t="n">
        <v>14</v>
      </c>
      <c r="J82" s="21" t="n">
        <v>10</v>
      </c>
      <c r="K82" s="21" t="n">
        <v>6</v>
      </c>
      <c r="L82" s="21" t="n">
        <v>0</v>
      </c>
      <c r="M82" s="22" t="n">
        <f aca="false">SUM(I82:L82)</f>
        <v>30</v>
      </c>
      <c r="N82" s="19" t="s">
        <v>436</v>
      </c>
      <c r="O82" s="19" t="s">
        <v>119</v>
      </c>
    </row>
    <row r="83" customFormat="false" ht="35.05" hidden="false" customHeight="false" outlineLevel="0" collapsed="false">
      <c r="A83" s="18" t="s">
        <v>42</v>
      </c>
      <c r="B83" s="19" t="s">
        <v>43</v>
      </c>
      <c r="C83" s="18" t="s">
        <v>437</v>
      </c>
      <c r="D83" s="19" t="s">
        <v>438</v>
      </c>
      <c r="E83" s="19" t="s">
        <v>439</v>
      </c>
      <c r="F83" s="20" t="s">
        <v>51</v>
      </c>
      <c r="G83" s="18" t="str">
        <f aca="false">IF(F83="Must","R1 – MVP",IF(F83="Should","R2","R3"))</f>
        <v>R1 – MVP</v>
      </c>
      <c r="H83" s="19" t="s">
        <v>108</v>
      </c>
      <c r="I83" s="21" t="n">
        <v>14</v>
      </c>
      <c r="J83" s="21" t="n">
        <v>6</v>
      </c>
      <c r="K83" s="21" t="n">
        <v>5</v>
      </c>
      <c r="L83" s="21" t="n">
        <v>0</v>
      </c>
      <c r="M83" s="22" t="n">
        <f aca="false">SUM(I83:L83)</f>
        <v>25</v>
      </c>
      <c r="N83" s="19" t="s">
        <v>440</v>
      </c>
      <c r="O83" s="19" t="s">
        <v>441</v>
      </c>
    </row>
    <row r="84" customFormat="false" ht="23.85" hidden="false" customHeight="false" outlineLevel="0" collapsed="false">
      <c r="A84" s="18" t="s">
        <v>42</v>
      </c>
      <c r="B84" s="19" t="s">
        <v>43</v>
      </c>
      <c r="C84" s="18" t="s">
        <v>442</v>
      </c>
      <c r="D84" s="19" t="s">
        <v>443</v>
      </c>
      <c r="E84" s="19" t="s">
        <v>444</v>
      </c>
      <c r="F84" s="20" t="s">
        <v>51</v>
      </c>
      <c r="G84" s="18" t="str">
        <f aca="false">IF(F84="Must","R1 – MVP",IF(F84="Should","R2","R3"))</f>
        <v>R1 – MVP</v>
      </c>
      <c r="H84" s="19" t="s">
        <v>108</v>
      </c>
      <c r="I84" s="21" t="n">
        <v>16</v>
      </c>
      <c r="J84" s="21" t="n">
        <v>10</v>
      </c>
      <c r="K84" s="21" t="n">
        <v>6</v>
      </c>
      <c r="L84" s="21" t="n">
        <v>0</v>
      </c>
      <c r="M84" s="22" t="n">
        <f aca="false">SUM(I84:L84)</f>
        <v>32</v>
      </c>
      <c r="N84" s="19" t="s">
        <v>445</v>
      </c>
      <c r="O84" s="19" t="s">
        <v>441</v>
      </c>
    </row>
    <row r="85" customFormat="false" ht="23.85" hidden="false" customHeight="false" outlineLevel="0" collapsed="false">
      <c r="A85" s="18" t="s">
        <v>42</v>
      </c>
      <c r="B85" s="19" t="s">
        <v>43</v>
      </c>
      <c r="C85" s="18" t="s">
        <v>446</v>
      </c>
      <c r="D85" s="19" t="s">
        <v>447</v>
      </c>
      <c r="E85" s="19" t="s">
        <v>448</v>
      </c>
      <c r="F85" s="20" t="s">
        <v>51</v>
      </c>
      <c r="G85" s="18" t="str">
        <f aca="false">IF(F85="Must","R1 – MVP",IF(F85="Should","R2","R3"))</f>
        <v>R1 – MVP</v>
      </c>
      <c r="H85" s="19" t="s">
        <v>108</v>
      </c>
      <c r="I85" s="21" t="n">
        <v>8</v>
      </c>
      <c r="J85" s="21" t="n">
        <v>4</v>
      </c>
      <c r="K85" s="21" t="n">
        <v>3</v>
      </c>
      <c r="L85" s="21" t="n">
        <v>0</v>
      </c>
      <c r="M85" s="22" t="n">
        <f aca="false">SUM(I85:L85)</f>
        <v>15</v>
      </c>
      <c r="N85" s="19" t="s">
        <v>449</v>
      </c>
      <c r="O85" s="19" t="s">
        <v>225</v>
      </c>
    </row>
    <row r="86" customFormat="false" ht="35.05" hidden="false" customHeight="false" outlineLevel="0" collapsed="false">
      <c r="A86" s="18" t="s">
        <v>42</v>
      </c>
      <c r="B86" s="19" t="s">
        <v>43</v>
      </c>
      <c r="C86" s="18" t="s">
        <v>450</v>
      </c>
      <c r="D86" s="19" t="s">
        <v>451</v>
      </c>
      <c r="E86" s="19" t="s">
        <v>452</v>
      </c>
      <c r="F86" s="20" t="s">
        <v>51</v>
      </c>
      <c r="G86" s="18" t="str">
        <f aca="false">IF(F86="Must","R1 – MVP",IF(F86="Should","R2","R3"))</f>
        <v>R1 – MVP</v>
      </c>
      <c r="H86" s="19" t="s">
        <v>108</v>
      </c>
      <c r="I86" s="21" t="n">
        <v>6</v>
      </c>
      <c r="J86" s="21" t="n">
        <v>4</v>
      </c>
      <c r="K86" s="21" t="n">
        <v>3</v>
      </c>
      <c r="L86" s="21" t="n">
        <v>0</v>
      </c>
      <c r="M86" s="22" t="n">
        <f aca="false">SUM(I86:L86)</f>
        <v>13</v>
      </c>
      <c r="N86" s="19" t="s">
        <v>453</v>
      </c>
      <c r="O86" s="19" t="s">
        <v>441</v>
      </c>
    </row>
    <row r="87" customFormat="false" ht="35.05" hidden="false" customHeight="false" outlineLevel="0" collapsed="false">
      <c r="A87" s="18" t="s">
        <v>42</v>
      </c>
      <c r="B87" s="19" t="s">
        <v>43</v>
      </c>
      <c r="C87" s="18" t="s">
        <v>454</v>
      </c>
      <c r="D87" s="19" t="s">
        <v>455</v>
      </c>
      <c r="E87" s="19" t="s">
        <v>456</v>
      </c>
      <c r="F87" s="20" t="s">
        <v>51</v>
      </c>
      <c r="G87" s="18" t="str">
        <f aca="false">IF(F87="Must","R1 – MVP",IF(F87="Should","R2","R3"))</f>
        <v>R1 – MVP</v>
      </c>
      <c r="H87" s="19" t="s">
        <v>88</v>
      </c>
      <c r="I87" s="21" t="n">
        <v>0</v>
      </c>
      <c r="J87" s="21" t="n">
        <v>12</v>
      </c>
      <c r="K87" s="21" t="n">
        <v>4</v>
      </c>
      <c r="L87" s="21" t="n">
        <v>0</v>
      </c>
      <c r="M87" s="22" t="n">
        <f aca="false">SUM(I87:L87)</f>
        <v>16</v>
      </c>
      <c r="N87" s="19" t="s">
        <v>457</v>
      </c>
      <c r="O87" s="19" t="s">
        <v>441</v>
      </c>
    </row>
    <row r="88" customFormat="false" ht="35.05" hidden="false" customHeight="false" outlineLevel="0" collapsed="false">
      <c r="A88" s="18" t="s">
        <v>42</v>
      </c>
      <c r="B88" s="19" t="s">
        <v>43</v>
      </c>
      <c r="C88" s="18" t="s">
        <v>458</v>
      </c>
      <c r="D88" s="19" t="s">
        <v>459</v>
      </c>
      <c r="E88" s="19" t="s">
        <v>460</v>
      </c>
      <c r="F88" s="20" t="s">
        <v>51</v>
      </c>
      <c r="G88" s="18" t="str">
        <f aca="false">IF(F88="Must","R1 – MVP",IF(F88="Should","R2","R3"))</f>
        <v>R1 – MVP</v>
      </c>
      <c r="H88" s="19" t="s">
        <v>108</v>
      </c>
      <c r="I88" s="21" t="n">
        <v>14</v>
      </c>
      <c r="J88" s="21" t="n">
        <v>8</v>
      </c>
      <c r="K88" s="21" t="n">
        <v>6</v>
      </c>
      <c r="L88" s="21" t="n">
        <v>0</v>
      </c>
      <c r="M88" s="22" t="n">
        <f aca="false">SUM(I88:L88)</f>
        <v>28</v>
      </c>
      <c r="N88" s="19" t="s">
        <v>461</v>
      </c>
      <c r="O88" s="19" t="s">
        <v>225</v>
      </c>
    </row>
    <row r="89" customFormat="false" ht="23.85" hidden="false" customHeight="false" outlineLevel="0" collapsed="false">
      <c r="A89" s="18" t="s">
        <v>42</v>
      </c>
      <c r="B89" s="19" t="s">
        <v>43</v>
      </c>
      <c r="C89" s="18" t="s">
        <v>462</v>
      </c>
      <c r="D89" s="19" t="s">
        <v>463</v>
      </c>
      <c r="E89" s="19" t="s">
        <v>464</v>
      </c>
      <c r="F89" s="24" t="s">
        <v>53</v>
      </c>
      <c r="G89" s="18" t="str">
        <f aca="false">IF(F89="Must","R1 – MVP",IF(F89="Should","R2","R3"))</f>
        <v>R2</v>
      </c>
      <c r="H89" s="19" t="s">
        <v>108</v>
      </c>
      <c r="I89" s="21" t="n">
        <v>8</v>
      </c>
      <c r="J89" s="21" t="n">
        <v>6</v>
      </c>
      <c r="K89" s="21" t="n">
        <v>4</v>
      </c>
      <c r="L89" s="21" t="n">
        <v>0</v>
      </c>
      <c r="M89" s="22" t="n">
        <f aca="false">SUM(I89:L89)</f>
        <v>18</v>
      </c>
      <c r="N89" s="19" t="s">
        <v>465</v>
      </c>
      <c r="O89" s="19" t="s">
        <v>466</v>
      </c>
    </row>
    <row r="90" customFormat="false" ht="35.05" hidden="false" customHeight="false" outlineLevel="0" collapsed="false">
      <c r="A90" s="18" t="s">
        <v>42</v>
      </c>
      <c r="B90" s="19" t="s">
        <v>43</v>
      </c>
      <c r="C90" s="18" t="s">
        <v>467</v>
      </c>
      <c r="D90" s="19" t="s">
        <v>468</v>
      </c>
      <c r="E90" s="19" t="s">
        <v>469</v>
      </c>
      <c r="F90" s="20" t="s">
        <v>51</v>
      </c>
      <c r="G90" s="18" t="str">
        <f aca="false">IF(F90="Must","R1 – MVP",IF(F90="Should","R2","R3"))</f>
        <v>R1 – MVP</v>
      </c>
      <c r="H90" s="19" t="s">
        <v>108</v>
      </c>
      <c r="I90" s="21" t="n">
        <v>14</v>
      </c>
      <c r="J90" s="21" t="n">
        <v>10</v>
      </c>
      <c r="K90" s="21" t="n">
        <v>6</v>
      </c>
      <c r="L90" s="21" t="n">
        <v>0</v>
      </c>
      <c r="M90" s="22" t="n">
        <f aca="false">SUM(I90:L90)</f>
        <v>30</v>
      </c>
      <c r="N90" s="19" t="s">
        <v>470</v>
      </c>
      <c r="O90" s="19" t="s">
        <v>225</v>
      </c>
    </row>
    <row r="91" customFormat="false" ht="46.25" hidden="false" customHeight="false" outlineLevel="0" collapsed="false">
      <c r="A91" s="18" t="s">
        <v>42</v>
      </c>
      <c r="B91" s="19" t="s">
        <v>43</v>
      </c>
      <c r="C91" s="18" t="s">
        <v>471</v>
      </c>
      <c r="D91" s="19" t="s">
        <v>472</v>
      </c>
      <c r="E91" s="19" t="s">
        <v>473</v>
      </c>
      <c r="F91" s="20" t="s">
        <v>51</v>
      </c>
      <c r="G91" s="18" t="str">
        <f aca="false">IF(F91="Must","R1 – MVP",IF(F91="Should","R2","R3"))</f>
        <v>R1 – MVP</v>
      </c>
      <c r="H91" s="19" t="s">
        <v>108</v>
      </c>
      <c r="I91" s="21" t="n">
        <v>14</v>
      </c>
      <c r="J91" s="21" t="n">
        <v>14</v>
      </c>
      <c r="K91" s="21" t="n">
        <v>7</v>
      </c>
      <c r="L91" s="21" t="n">
        <v>0</v>
      </c>
      <c r="M91" s="22" t="n">
        <f aca="false">SUM(I91:L91)</f>
        <v>35</v>
      </c>
      <c r="N91" s="19" t="s">
        <v>474</v>
      </c>
      <c r="O91" s="19" t="s">
        <v>225</v>
      </c>
    </row>
    <row r="92" customFormat="false" ht="23.85" hidden="false" customHeight="false" outlineLevel="0" collapsed="false">
      <c r="A92" s="18" t="s">
        <v>42</v>
      </c>
      <c r="B92" s="19" t="s">
        <v>43</v>
      </c>
      <c r="C92" s="18" t="s">
        <v>475</v>
      </c>
      <c r="D92" s="19" t="s">
        <v>476</v>
      </c>
      <c r="E92" s="19" t="s">
        <v>477</v>
      </c>
      <c r="F92" s="24" t="s">
        <v>53</v>
      </c>
      <c r="G92" s="18" t="str">
        <f aca="false">IF(F92="Must","R1 – MVP",IF(F92="Should","R2","R3"))</f>
        <v>R2</v>
      </c>
      <c r="H92" s="19" t="s">
        <v>108</v>
      </c>
      <c r="I92" s="21" t="n">
        <v>10</v>
      </c>
      <c r="J92" s="21" t="n">
        <v>10</v>
      </c>
      <c r="K92" s="21" t="n">
        <v>5</v>
      </c>
      <c r="L92" s="21" t="n">
        <v>0</v>
      </c>
      <c r="M92" s="22" t="n">
        <f aca="false">SUM(I92:L92)</f>
        <v>25</v>
      </c>
      <c r="N92" s="19" t="s">
        <v>478</v>
      </c>
      <c r="O92" s="19" t="s">
        <v>479</v>
      </c>
    </row>
    <row r="93" customFormat="false" ht="23.85" hidden="false" customHeight="false" outlineLevel="0" collapsed="false">
      <c r="A93" s="18" t="s">
        <v>42</v>
      </c>
      <c r="B93" s="19" t="s">
        <v>43</v>
      </c>
      <c r="C93" s="18" t="s">
        <v>480</v>
      </c>
      <c r="D93" s="19" t="s">
        <v>481</v>
      </c>
      <c r="E93" s="19" t="s">
        <v>482</v>
      </c>
      <c r="F93" s="23" t="s">
        <v>55</v>
      </c>
      <c r="G93" s="18" t="str">
        <f aca="false">IF(F93="Must","R1 – MVP",IF(F93="Should","R2","R3"))</f>
        <v>R3</v>
      </c>
      <c r="H93" s="19" t="s">
        <v>108</v>
      </c>
      <c r="I93" s="21" t="n">
        <v>4</v>
      </c>
      <c r="J93" s="21" t="n">
        <v>6</v>
      </c>
      <c r="K93" s="21" t="n">
        <v>3</v>
      </c>
      <c r="L93" s="21" t="n">
        <v>0</v>
      </c>
      <c r="M93" s="22" t="n">
        <f aca="false">SUM(I93:L93)</f>
        <v>13</v>
      </c>
      <c r="N93" s="19" t="s">
        <v>483</v>
      </c>
      <c r="O93" s="19" t="s">
        <v>479</v>
      </c>
    </row>
    <row r="94" customFormat="false" ht="23.85" hidden="false" customHeight="false" outlineLevel="0" collapsed="false">
      <c r="A94" s="18" t="s">
        <v>42</v>
      </c>
      <c r="B94" s="19" t="s">
        <v>43</v>
      </c>
      <c r="C94" s="18" t="s">
        <v>484</v>
      </c>
      <c r="D94" s="19" t="s">
        <v>485</v>
      </c>
      <c r="E94" s="19" t="s">
        <v>486</v>
      </c>
      <c r="F94" s="24" t="s">
        <v>53</v>
      </c>
      <c r="G94" s="18" t="str">
        <f aca="false">IF(F94="Must","R1 – MVP",IF(F94="Should","R2","R3"))</f>
        <v>R2</v>
      </c>
      <c r="H94" s="19" t="s">
        <v>108</v>
      </c>
      <c r="I94" s="21" t="n">
        <v>12</v>
      </c>
      <c r="J94" s="21" t="n">
        <v>2</v>
      </c>
      <c r="K94" s="21" t="n">
        <v>4</v>
      </c>
      <c r="L94" s="21" t="n">
        <v>0</v>
      </c>
      <c r="M94" s="22" t="n">
        <f aca="false">SUM(I94:L94)</f>
        <v>18</v>
      </c>
      <c r="N94" s="19" t="s">
        <v>487</v>
      </c>
      <c r="O94" s="19" t="s">
        <v>479</v>
      </c>
    </row>
    <row r="95" customFormat="false" ht="23.85" hidden="false" customHeight="false" outlineLevel="0" collapsed="false">
      <c r="A95" s="18" t="s">
        <v>42</v>
      </c>
      <c r="B95" s="19" t="s">
        <v>43</v>
      </c>
      <c r="C95" s="18" t="s">
        <v>488</v>
      </c>
      <c r="D95" s="19" t="s">
        <v>489</v>
      </c>
      <c r="E95" s="19" t="s">
        <v>490</v>
      </c>
      <c r="F95" s="24" t="s">
        <v>53</v>
      </c>
      <c r="G95" s="18" t="str">
        <f aca="false">IF(F95="Must","R1 – MVP",IF(F95="Should","R2","R3"))</f>
        <v>R2</v>
      </c>
      <c r="H95" s="19" t="s">
        <v>108</v>
      </c>
      <c r="I95" s="21" t="n">
        <v>10</v>
      </c>
      <c r="J95" s="21" t="n">
        <v>8</v>
      </c>
      <c r="K95" s="21" t="n">
        <v>5</v>
      </c>
      <c r="L95" s="21" t="n">
        <v>0</v>
      </c>
      <c r="M95" s="22" t="n">
        <f aca="false">SUM(I95:L95)</f>
        <v>23</v>
      </c>
      <c r="N95" s="19" t="s">
        <v>491</v>
      </c>
      <c r="O95" s="19" t="s">
        <v>479</v>
      </c>
    </row>
    <row r="96" customFormat="false" ht="23.85" hidden="false" customHeight="false" outlineLevel="0" collapsed="false">
      <c r="A96" s="18" t="s">
        <v>42</v>
      </c>
      <c r="B96" s="19" t="s">
        <v>43</v>
      </c>
      <c r="C96" s="18" t="s">
        <v>492</v>
      </c>
      <c r="D96" s="19" t="s">
        <v>493</v>
      </c>
      <c r="E96" s="19" t="s">
        <v>494</v>
      </c>
      <c r="F96" s="24" t="s">
        <v>53</v>
      </c>
      <c r="G96" s="18" t="str">
        <f aca="false">IF(F96="Must","R1 – MVP",IF(F96="Should","R2","R3"))</f>
        <v>R2</v>
      </c>
      <c r="H96" s="19" t="s">
        <v>108</v>
      </c>
      <c r="I96" s="21" t="n">
        <v>16</v>
      </c>
      <c r="J96" s="21" t="n">
        <v>12</v>
      </c>
      <c r="K96" s="21" t="n">
        <v>6</v>
      </c>
      <c r="L96" s="21" t="n">
        <v>0</v>
      </c>
      <c r="M96" s="22" t="n">
        <f aca="false">SUM(I96:L96)</f>
        <v>34</v>
      </c>
      <c r="N96" s="19" t="s">
        <v>491</v>
      </c>
      <c r="O96" s="19" t="s">
        <v>479</v>
      </c>
    </row>
    <row r="97" customFormat="false" ht="23.85" hidden="false" customHeight="false" outlineLevel="0" collapsed="false">
      <c r="A97" s="18" t="s">
        <v>42</v>
      </c>
      <c r="B97" s="19" t="s">
        <v>43</v>
      </c>
      <c r="C97" s="18" t="s">
        <v>495</v>
      </c>
      <c r="D97" s="19" t="s">
        <v>496</v>
      </c>
      <c r="E97" s="19" t="s">
        <v>497</v>
      </c>
      <c r="F97" s="23" t="s">
        <v>55</v>
      </c>
      <c r="G97" s="18" t="str">
        <f aca="false">IF(F97="Must","R1 – MVP",IF(F97="Should","R2","R3"))</f>
        <v>R3</v>
      </c>
      <c r="H97" s="19" t="s">
        <v>108</v>
      </c>
      <c r="I97" s="21" t="n">
        <v>28</v>
      </c>
      <c r="J97" s="21" t="n">
        <v>20</v>
      </c>
      <c r="K97" s="21" t="n">
        <v>10</v>
      </c>
      <c r="L97" s="21" t="n">
        <v>0</v>
      </c>
      <c r="M97" s="22" t="n">
        <f aca="false">SUM(I97:L97)</f>
        <v>58</v>
      </c>
      <c r="N97" s="19" t="s">
        <v>491</v>
      </c>
      <c r="O97" s="19" t="s">
        <v>498</v>
      </c>
    </row>
    <row r="98" customFormat="false" ht="23.85" hidden="false" customHeight="false" outlineLevel="0" collapsed="false">
      <c r="A98" s="18" t="s">
        <v>42</v>
      </c>
      <c r="B98" s="19" t="s">
        <v>43</v>
      </c>
      <c r="C98" s="18" t="s">
        <v>499</v>
      </c>
      <c r="D98" s="19" t="s">
        <v>500</v>
      </c>
      <c r="E98" s="19" t="s">
        <v>501</v>
      </c>
      <c r="F98" s="23" t="s">
        <v>55</v>
      </c>
      <c r="G98" s="18" t="str">
        <f aca="false">IF(F98="Must","R1 – MVP",IF(F98="Should","R2","R3"))</f>
        <v>R3</v>
      </c>
      <c r="H98" s="19" t="s">
        <v>108</v>
      </c>
      <c r="I98" s="21" t="n">
        <v>12</v>
      </c>
      <c r="J98" s="21" t="n">
        <v>10</v>
      </c>
      <c r="K98" s="21" t="n">
        <v>5</v>
      </c>
      <c r="L98" s="21" t="n">
        <v>0</v>
      </c>
      <c r="M98" s="22" t="n">
        <f aca="false">SUM(I98:L98)</f>
        <v>27</v>
      </c>
      <c r="N98" s="19" t="s">
        <v>491</v>
      </c>
      <c r="O98" s="19" t="s">
        <v>479</v>
      </c>
    </row>
    <row r="99" customFormat="false" ht="23.85" hidden="false" customHeight="false" outlineLevel="0" collapsed="false">
      <c r="A99" s="18" t="s">
        <v>42</v>
      </c>
      <c r="B99" s="19" t="s">
        <v>43</v>
      </c>
      <c r="C99" s="18" t="s">
        <v>502</v>
      </c>
      <c r="D99" s="19" t="s">
        <v>503</v>
      </c>
      <c r="E99" s="19" t="s">
        <v>504</v>
      </c>
      <c r="F99" s="23" t="s">
        <v>55</v>
      </c>
      <c r="G99" s="18" t="str">
        <f aca="false">IF(F99="Must","R1 – MVP",IF(F99="Should","R2","R3"))</f>
        <v>R3</v>
      </c>
      <c r="H99" s="19" t="s">
        <v>108</v>
      </c>
      <c r="I99" s="21" t="n">
        <v>12</v>
      </c>
      <c r="J99" s="21" t="n">
        <v>10</v>
      </c>
      <c r="K99" s="21" t="n">
        <v>5</v>
      </c>
      <c r="L99" s="21" t="n">
        <v>0</v>
      </c>
      <c r="M99" s="22" t="n">
        <f aca="false">SUM(I99:L99)</f>
        <v>27</v>
      </c>
      <c r="N99" s="19" t="s">
        <v>491</v>
      </c>
      <c r="O99" s="19" t="s">
        <v>441</v>
      </c>
    </row>
    <row r="100" customFormat="false" ht="23.85" hidden="false" customHeight="false" outlineLevel="0" collapsed="false">
      <c r="A100" s="18" t="s">
        <v>42</v>
      </c>
      <c r="B100" s="19" t="s">
        <v>43</v>
      </c>
      <c r="C100" s="18" t="s">
        <v>505</v>
      </c>
      <c r="D100" s="19" t="s">
        <v>506</v>
      </c>
      <c r="E100" s="19" t="s">
        <v>507</v>
      </c>
      <c r="F100" s="24" t="s">
        <v>53</v>
      </c>
      <c r="G100" s="18" t="str">
        <f aca="false">IF(F100="Must","R1 – MVP",IF(F100="Should","R2","R3"))</f>
        <v>R2</v>
      </c>
      <c r="H100" s="19" t="s">
        <v>108</v>
      </c>
      <c r="I100" s="21" t="n">
        <v>18</v>
      </c>
      <c r="J100" s="21" t="n">
        <v>14</v>
      </c>
      <c r="K100" s="21" t="n">
        <v>7</v>
      </c>
      <c r="L100" s="21" t="n">
        <v>0</v>
      </c>
      <c r="M100" s="22" t="n">
        <f aca="false">SUM(I100:L100)</f>
        <v>39</v>
      </c>
      <c r="N100" s="19" t="s">
        <v>491</v>
      </c>
      <c r="O100" s="19" t="s">
        <v>441</v>
      </c>
    </row>
    <row r="101" customFormat="false" ht="23.85" hidden="false" customHeight="false" outlineLevel="0" collapsed="false">
      <c r="A101" s="18" t="s">
        <v>42</v>
      </c>
      <c r="B101" s="19" t="s">
        <v>43</v>
      </c>
      <c r="C101" s="18" t="s">
        <v>508</v>
      </c>
      <c r="D101" s="19" t="s">
        <v>509</v>
      </c>
      <c r="E101" s="19" t="s">
        <v>510</v>
      </c>
      <c r="F101" s="23" t="s">
        <v>55</v>
      </c>
      <c r="G101" s="18" t="str">
        <f aca="false">IF(F101="Must","R1 – MVP",IF(F101="Should","R2","R3"))</f>
        <v>R3</v>
      </c>
      <c r="H101" s="19" t="s">
        <v>108</v>
      </c>
      <c r="I101" s="21" t="n">
        <v>24</v>
      </c>
      <c r="J101" s="21" t="n">
        <v>20</v>
      </c>
      <c r="K101" s="21" t="n">
        <v>9</v>
      </c>
      <c r="L101" s="21" t="n">
        <v>0</v>
      </c>
      <c r="M101" s="22" t="n">
        <f aca="false">SUM(I101:L101)</f>
        <v>53</v>
      </c>
      <c r="N101" s="19" t="s">
        <v>491</v>
      </c>
      <c r="O101" s="19" t="s">
        <v>511</v>
      </c>
    </row>
    <row r="102" customFormat="false" ht="35.05" hidden="false" customHeight="false" outlineLevel="0" collapsed="false">
      <c r="A102" s="18" t="s">
        <v>42</v>
      </c>
      <c r="B102" s="19" t="s">
        <v>43</v>
      </c>
      <c r="C102" s="18" t="s">
        <v>512</v>
      </c>
      <c r="D102" s="19" t="s">
        <v>513</v>
      </c>
      <c r="E102" s="19" t="s">
        <v>514</v>
      </c>
      <c r="F102" s="20" t="s">
        <v>51</v>
      </c>
      <c r="G102" s="18" t="str">
        <f aca="false">IF(F102="Must","R1 – MVP",IF(F102="Should","R2","R3"))</f>
        <v>R1 – MVP</v>
      </c>
      <c r="H102" s="19" t="s">
        <v>108</v>
      </c>
      <c r="I102" s="21" t="n">
        <v>4</v>
      </c>
      <c r="J102" s="21" t="n">
        <v>8</v>
      </c>
      <c r="K102" s="21" t="n">
        <v>4</v>
      </c>
      <c r="L102" s="21" t="n">
        <v>0</v>
      </c>
      <c r="M102" s="22" t="n">
        <f aca="false">SUM(I102:L102)</f>
        <v>16</v>
      </c>
      <c r="N102" s="19" t="s">
        <v>515</v>
      </c>
      <c r="O102" s="19" t="s">
        <v>516</v>
      </c>
    </row>
    <row r="103" customFormat="false" ht="23.85" hidden="false" customHeight="false" outlineLevel="0" collapsed="false">
      <c r="A103" s="18" t="s">
        <v>44</v>
      </c>
      <c r="B103" s="19" t="s">
        <v>45</v>
      </c>
      <c r="C103" s="18" t="s">
        <v>517</v>
      </c>
      <c r="D103" s="19" t="s">
        <v>518</v>
      </c>
      <c r="E103" s="19" t="s">
        <v>519</v>
      </c>
      <c r="F103" s="20" t="s">
        <v>51</v>
      </c>
      <c r="G103" s="18" t="str">
        <f aca="false">IF(F103="Must","R1 – MVP",IF(F103="Should","R2","R3"))</f>
        <v>R1 – MVP</v>
      </c>
      <c r="H103" s="19" t="s">
        <v>108</v>
      </c>
      <c r="I103" s="21" t="n">
        <v>10</v>
      </c>
      <c r="J103" s="21" t="n">
        <v>8</v>
      </c>
      <c r="K103" s="21" t="n">
        <v>5</v>
      </c>
      <c r="L103" s="21" t="n">
        <v>0</v>
      </c>
      <c r="M103" s="22" t="n">
        <f aca="false">SUM(I103:L103)</f>
        <v>23</v>
      </c>
      <c r="N103" s="19" t="s">
        <v>520</v>
      </c>
      <c r="O103" s="19" t="s">
        <v>225</v>
      </c>
    </row>
    <row r="104" customFormat="false" ht="35.05" hidden="false" customHeight="false" outlineLevel="0" collapsed="false">
      <c r="A104" s="18" t="s">
        <v>44</v>
      </c>
      <c r="B104" s="19" t="s">
        <v>45</v>
      </c>
      <c r="C104" s="18" t="s">
        <v>521</v>
      </c>
      <c r="D104" s="19" t="s">
        <v>522</v>
      </c>
      <c r="E104" s="19" t="s">
        <v>523</v>
      </c>
      <c r="F104" s="24" t="s">
        <v>53</v>
      </c>
      <c r="G104" s="18" t="str">
        <f aca="false">IF(F104="Must","R1 – MVP",IF(F104="Should","R2","R3"))</f>
        <v>R2</v>
      </c>
      <c r="H104" s="19" t="s">
        <v>108</v>
      </c>
      <c r="I104" s="21" t="n">
        <v>8</v>
      </c>
      <c r="J104" s="21" t="n">
        <v>4</v>
      </c>
      <c r="K104" s="21" t="n">
        <v>3</v>
      </c>
      <c r="L104" s="21" t="n">
        <v>0</v>
      </c>
      <c r="M104" s="22" t="n">
        <f aca="false">SUM(I104:L104)</f>
        <v>15</v>
      </c>
      <c r="N104" s="19" t="s">
        <v>524</v>
      </c>
      <c r="O104" s="19" t="s">
        <v>525</v>
      </c>
    </row>
    <row r="105" customFormat="false" ht="23.85" hidden="false" customHeight="false" outlineLevel="0" collapsed="false">
      <c r="A105" s="18" t="s">
        <v>44</v>
      </c>
      <c r="B105" s="19" t="s">
        <v>45</v>
      </c>
      <c r="C105" s="18" t="s">
        <v>526</v>
      </c>
      <c r="D105" s="19" t="s">
        <v>527</v>
      </c>
      <c r="E105" s="19" t="s">
        <v>528</v>
      </c>
      <c r="F105" s="24" t="s">
        <v>53</v>
      </c>
      <c r="G105" s="18" t="str">
        <f aca="false">IF(F105="Must","R1 – MVP",IF(F105="Should","R2","R3"))</f>
        <v>R2</v>
      </c>
      <c r="H105" s="19" t="s">
        <v>108</v>
      </c>
      <c r="I105" s="21" t="n">
        <v>14</v>
      </c>
      <c r="J105" s="21" t="n">
        <v>12</v>
      </c>
      <c r="K105" s="21" t="n">
        <v>5</v>
      </c>
      <c r="L105" s="21" t="n">
        <v>0</v>
      </c>
      <c r="M105" s="22" t="n">
        <f aca="false">SUM(I105:L105)</f>
        <v>31</v>
      </c>
      <c r="N105" s="19" t="s">
        <v>529</v>
      </c>
      <c r="O105" s="19" t="s">
        <v>498</v>
      </c>
    </row>
    <row r="106" customFormat="false" ht="35.05" hidden="false" customHeight="false" outlineLevel="0" collapsed="false">
      <c r="A106" s="18" t="s">
        <v>44</v>
      </c>
      <c r="B106" s="19" t="s">
        <v>45</v>
      </c>
      <c r="C106" s="18" t="s">
        <v>530</v>
      </c>
      <c r="D106" s="19" t="s">
        <v>531</v>
      </c>
      <c r="E106" s="19" t="s">
        <v>532</v>
      </c>
      <c r="F106" s="20" t="s">
        <v>51</v>
      </c>
      <c r="G106" s="18" t="str">
        <f aca="false">IF(F106="Must","R1 – MVP",IF(F106="Should","R2","R3"))</f>
        <v>R1 – MVP</v>
      </c>
      <c r="H106" s="19" t="s">
        <v>108</v>
      </c>
      <c r="I106" s="21" t="n">
        <v>16</v>
      </c>
      <c r="J106" s="21" t="n">
        <v>20</v>
      </c>
      <c r="K106" s="21" t="n">
        <v>8</v>
      </c>
      <c r="L106" s="21" t="n">
        <v>0</v>
      </c>
      <c r="M106" s="22" t="n">
        <f aca="false">SUM(I106:L106)</f>
        <v>44</v>
      </c>
      <c r="N106" s="19" t="s">
        <v>533</v>
      </c>
      <c r="O106" s="19" t="s">
        <v>184</v>
      </c>
    </row>
    <row r="107" customFormat="false" ht="23.85" hidden="false" customHeight="false" outlineLevel="0" collapsed="false">
      <c r="A107" s="18" t="s">
        <v>44</v>
      </c>
      <c r="B107" s="19" t="s">
        <v>45</v>
      </c>
      <c r="C107" s="18" t="s">
        <v>534</v>
      </c>
      <c r="D107" s="19" t="s">
        <v>535</v>
      </c>
      <c r="E107" s="19" t="s">
        <v>536</v>
      </c>
      <c r="F107" s="24" t="s">
        <v>53</v>
      </c>
      <c r="G107" s="18" t="str">
        <f aca="false">IF(F107="Must","R1 – MVP",IF(F107="Should","R2","R3"))</f>
        <v>R2</v>
      </c>
      <c r="H107" s="19" t="s">
        <v>108</v>
      </c>
      <c r="I107" s="21" t="n">
        <v>12</v>
      </c>
      <c r="J107" s="21" t="n">
        <v>12</v>
      </c>
      <c r="K107" s="21" t="n">
        <v>6</v>
      </c>
      <c r="L107" s="21" t="n">
        <v>0</v>
      </c>
      <c r="M107" s="22" t="n">
        <f aca="false">SUM(I107:L107)</f>
        <v>30</v>
      </c>
      <c r="N107" s="19" t="s">
        <v>537</v>
      </c>
      <c r="O107" s="19" t="s">
        <v>525</v>
      </c>
    </row>
    <row r="108" customFormat="false" ht="23.85" hidden="false" customHeight="false" outlineLevel="0" collapsed="false">
      <c r="A108" s="18" t="s">
        <v>44</v>
      </c>
      <c r="B108" s="19" t="s">
        <v>45</v>
      </c>
      <c r="C108" s="18" t="s">
        <v>538</v>
      </c>
      <c r="D108" s="19" t="s">
        <v>539</v>
      </c>
      <c r="E108" s="19" t="s">
        <v>540</v>
      </c>
      <c r="F108" s="23" t="s">
        <v>55</v>
      </c>
      <c r="G108" s="18" t="str">
        <f aca="false">IF(F108="Must","R1 – MVP",IF(F108="Should","R2","R3"))</f>
        <v>R3</v>
      </c>
      <c r="H108" s="19" t="s">
        <v>108</v>
      </c>
      <c r="I108" s="21" t="n">
        <v>10</v>
      </c>
      <c r="J108" s="21" t="n">
        <v>10</v>
      </c>
      <c r="K108" s="21" t="n">
        <v>5</v>
      </c>
      <c r="L108" s="21" t="n">
        <v>0</v>
      </c>
      <c r="M108" s="22" t="n">
        <f aca="false">SUM(I108:L108)</f>
        <v>25</v>
      </c>
      <c r="N108" s="19" t="s">
        <v>541</v>
      </c>
      <c r="O108" s="19" t="s">
        <v>119</v>
      </c>
    </row>
    <row r="109" customFormat="false" ht="35.05" hidden="false" customHeight="false" outlineLevel="0" collapsed="false">
      <c r="A109" s="18" t="s">
        <v>46</v>
      </c>
      <c r="B109" s="19" t="s">
        <v>47</v>
      </c>
      <c r="C109" s="18" t="s">
        <v>542</v>
      </c>
      <c r="D109" s="19" t="s">
        <v>543</v>
      </c>
      <c r="E109" s="19" t="s">
        <v>544</v>
      </c>
      <c r="F109" s="20" t="s">
        <v>51</v>
      </c>
      <c r="G109" s="18" t="str">
        <f aca="false">IF(F109="Must","R1 – MVP",IF(F109="Should","R2","R3"))</f>
        <v>R1 – MVP</v>
      </c>
      <c r="H109" s="19" t="s">
        <v>545</v>
      </c>
      <c r="I109" s="21" t="n">
        <v>8</v>
      </c>
      <c r="J109" s="21" t="n">
        <v>24</v>
      </c>
      <c r="K109" s="21" t="n">
        <v>12</v>
      </c>
      <c r="L109" s="21" t="n">
        <v>4</v>
      </c>
      <c r="M109" s="22" t="n">
        <f aca="false">SUM(I109:L109)</f>
        <v>48</v>
      </c>
      <c r="N109" s="19" t="s">
        <v>546</v>
      </c>
      <c r="O109" s="19" t="s">
        <v>547</v>
      </c>
    </row>
    <row r="110" customFormat="false" ht="35.05" hidden="false" customHeight="false" outlineLevel="0" collapsed="false">
      <c r="A110" s="18" t="s">
        <v>46</v>
      </c>
      <c r="B110" s="19" t="s">
        <v>47</v>
      </c>
      <c r="C110" s="18" t="s">
        <v>548</v>
      </c>
      <c r="D110" s="19" t="s">
        <v>549</v>
      </c>
      <c r="E110" s="19" t="s">
        <v>550</v>
      </c>
      <c r="F110" s="20" t="s">
        <v>51</v>
      </c>
      <c r="G110" s="18" t="str">
        <f aca="false">IF(F110="Must","R1 – MVP",IF(F110="Should","R2","R3"))</f>
        <v>R1 – MVP</v>
      </c>
      <c r="H110" s="19" t="s">
        <v>83</v>
      </c>
      <c r="I110" s="21" t="n">
        <v>0</v>
      </c>
      <c r="J110" s="21" t="n">
        <v>24</v>
      </c>
      <c r="K110" s="21" t="n">
        <v>12</v>
      </c>
      <c r="L110" s="21" t="n">
        <v>8</v>
      </c>
      <c r="M110" s="22" t="n">
        <f aca="false">SUM(I110:L110)</f>
        <v>44</v>
      </c>
      <c r="N110" s="19" t="s">
        <v>551</v>
      </c>
      <c r="O110" s="19" t="s">
        <v>552</v>
      </c>
    </row>
    <row r="111" customFormat="false" ht="23.85" hidden="false" customHeight="false" outlineLevel="0" collapsed="false">
      <c r="A111" s="18" t="s">
        <v>46</v>
      </c>
      <c r="B111" s="19" t="s">
        <v>47</v>
      </c>
      <c r="C111" s="18" t="s">
        <v>553</v>
      </c>
      <c r="D111" s="19" t="s">
        <v>554</v>
      </c>
      <c r="E111" s="19" t="s">
        <v>555</v>
      </c>
      <c r="F111" s="24" t="s">
        <v>53</v>
      </c>
      <c r="G111" s="18" t="str">
        <f aca="false">IF(F111="Must","R1 – MVP",IF(F111="Should","R2","R3"))</f>
        <v>R2</v>
      </c>
      <c r="H111" s="19" t="s">
        <v>93</v>
      </c>
      <c r="I111" s="21" t="n">
        <v>24</v>
      </c>
      <c r="J111" s="21" t="n">
        <v>0</v>
      </c>
      <c r="K111" s="21" t="n">
        <v>16</v>
      </c>
      <c r="L111" s="21" t="n">
        <v>0</v>
      </c>
      <c r="M111" s="22" t="n">
        <f aca="false">SUM(I111:L111)</f>
        <v>40</v>
      </c>
      <c r="N111" s="19" t="s">
        <v>556</v>
      </c>
      <c r="O111" s="19" t="s">
        <v>552</v>
      </c>
    </row>
    <row r="112" customFormat="false" ht="23.85" hidden="false" customHeight="false" outlineLevel="0" collapsed="false">
      <c r="A112" s="18" t="s">
        <v>46</v>
      </c>
      <c r="B112" s="19" t="s">
        <v>47</v>
      </c>
      <c r="C112" s="18" t="s">
        <v>557</v>
      </c>
      <c r="D112" s="19" t="s">
        <v>558</v>
      </c>
      <c r="E112" s="19" t="s">
        <v>559</v>
      </c>
      <c r="F112" s="20" t="s">
        <v>51</v>
      </c>
      <c r="G112" s="18" t="str">
        <f aca="false">IF(F112="Must","R1 – MVP",IF(F112="Should","R2","R3"))</f>
        <v>R1 – MVP</v>
      </c>
      <c r="H112" s="19" t="s">
        <v>108</v>
      </c>
      <c r="I112" s="21" t="n">
        <v>8</v>
      </c>
      <c r="J112" s="21" t="n">
        <v>6</v>
      </c>
      <c r="K112" s="21" t="n">
        <v>4</v>
      </c>
      <c r="L112" s="21" t="n">
        <v>0</v>
      </c>
      <c r="M112" s="22" t="n">
        <f aca="false">SUM(I112:L112)</f>
        <v>18</v>
      </c>
      <c r="N112" s="19" t="s">
        <v>560</v>
      </c>
      <c r="O112" s="19" t="s">
        <v>552</v>
      </c>
    </row>
    <row r="113" customFormat="false" ht="35.05" hidden="false" customHeight="false" outlineLevel="0" collapsed="false">
      <c r="A113" s="18" t="s">
        <v>46</v>
      </c>
      <c r="B113" s="19" t="s">
        <v>47</v>
      </c>
      <c r="C113" s="18" t="s">
        <v>561</v>
      </c>
      <c r="D113" s="19" t="s">
        <v>562</v>
      </c>
      <c r="E113" s="19" t="s">
        <v>563</v>
      </c>
      <c r="F113" s="24" t="s">
        <v>53</v>
      </c>
      <c r="G113" s="18" t="str">
        <f aca="false">IF(F113="Must","R1 – MVP",IF(F113="Should","R2","R3"))</f>
        <v>R2</v>
      </c>
      <c r="H113" s="19" t="s">
        <v>108</v>
      </c>
      <c r="I113" s="21" t="n">
        <v>24</v>
      </c>
      <c r="J113" s="21" t="n">
        <v>24</v>
      </c>
      <c r="K113" s="21" t="n">
        <v>40</v>
      </c>
      <c r="L113" s="21" t="n">
        <v>0</v>
      </c>
      <c r="M113" s="22" t="n">
        <f aca="false">SUM(I113:L113)</f>
        <v>88</v>
      </c>
      <c r="N113" s="19" t="s">
        <v>564</v>
      </c>
      <c r="O113" s="19" t="s">
        <v>95</v>
      </c>
    </row>
    <row r="114" customFormat="false" ht="23.85" hidden="false" customHeight="false" outlineLevel="0" collapsed="false">
      <c r="A114" s="18" t="s">
        <v>46</v>
      </c>
      <c r="B114" s="19" t="s">
        <v>47</v>
      </c>
      <c r="C114" s="18" t="s">
        <v>565</v>
      </c>
      <c r="D114" s="19" t="s">
        <v>566</v>
      </c>
      <c r="E114" s="19" t="s">
        <v>567</v>
      </c>
      <c r="F114" s="20" t="s">
        <v>51</v>
      </c>
      <c r="G114" s="18" t="str">
        <f aca="false">IF(F114="Must","R1 – MVP",IF(F114="Should","R2","R3"))</f>
        <v>R1 – MVP</v>
      </c>
      <c r="H114" s="19" t="s">
        <v>108</v>
      </c>
      <c r="I114" s="21" t="n">
        <v>40</v>
      </c>
      <c r="J114" s="21" t="n">
        <v>40</v>
      </c>
      <c r="K114" s="21" t="n">
        <v>30</v>
      </c>
      <c r="L114" s="21" t="n">
        <v>0</v>
      </c>
      <c r="M114" s="22" t="n">
        <f aca="false">SUM(I114:L114)</f>
        <v>110</v>
      </c>
      <c r="N114" s="19" t="s">
        <v>568</v>
      </c>
      <c r="O114" s="19" t="s">
        <v>552</v>
      </c>
    </row>
    <row r="115" customFormat="false" ht="35.05" hidden="false" customHeight="false" outlineLevel="0" collapsed="false">
      <c r="A115" s="18" t="s">
        <v>46</v>
      </c>
      <c r="B115" s="19" t="s">
        <v>47</v>
      </c>
      <c r="C115" s="18" t="s">
        <v>569</v>
      </c>
      <c r="D115" s="19" t="s">
        <v>570</v>
      </c>
      <c r="E115" s="19" t="s">
        <v>571</v>
      </c>
      <c r="F115" s="20" t="s">
        <v>51</v>
      </c>
      <c r="G115" s="18" t="str">
        <f aca="false">IF(F115="Must","R1 – MVP",IF(F115="Should","R2","R3"))</f>
        <v>R1 – MVP</v>
      </c>
      <c r="H115" s="19" t="s">
        <v>83</v>
      </c>
      <c r="I115" s="21" t="n">
        <v>0</v>
      </c>
      <c r="J115" s="21" t="n">
        <v>6</v>
      </c>
      <c r="K115" s="21" t="n">
        <v>4</v>
      </c>
      <c r="L115" s="21" t="n">
        <v>24</v>
      </c>
      <c r="M115" s="22" t="n">
        <f aca="false">SUM(I115:L115)</f>
        <v>34</v>
      </c>
      <c r="N115" s="19" t="s">
        <v>572</v>
      </c>
      <c r="O115" s="19" t="s">
        <v>573</v>
      </c>
    </row>
    <row r="116" customFormat="false" ht="15" hidden="false" customHeight="false" outlineLevel="0" collapsed="false">
      <c r="D116" s="3" t="s">
        <v>48</v>
      </c>
      <c r="I116" s="25" t="n">
        <f aca="false">SUM(I2:I115)</f>
        <v>1272</v>
      </c>
      <c r="J116" s="25" t="n">
        <f aca="false">SUM(J2:J115)</f>
        <v>1188</v>
      </c>
      <c r="K116" s="25" t="n">
        <f aca="false">SUM(K2:K115)</f>
        <v>687</v>
      </c>
      <c r="L116" s="25" t="n">
        <f aca="false">SUM(L2:L115)</f>
        <v>68</v>
      </c>
      <c r="M116" s="25" t="n">
        <f aca="false">SUM(M2:M115)</f>
        <v>3215</v>
      </c>
    </row>
  </sheetData>
  <autoFilter ref="A1:O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2026-10-05T06:46:27Z</dcterms:created>
  <dc:creator>openpyxl</dc:creator>
  <dc:description/>
  <dc:language>en-US</dc:language>
  <cp:lastModifiedBy/>
  <dcterms:modified xsi:type="dcterms:W3CDTF">2026-10-05T06:46:27Z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